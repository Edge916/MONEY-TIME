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be3db225d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 target" sheetId="1" r:id="R8cf8b2169d354de2"/>
    <x:sheet xmlns:r="http://schemas.openxmlformats.org/officeDocument/2006/relationships" name="Cash log" sheetId="2" r:id="R9ebc7b25f20144ee"/>
    <x:sheet xmlns:r="http://schemas.openxmlformats.org/officeDocument/2006/relationships" name="Prospects" sheetId="3" r:id="R0b0a428e9c1f48a2"/>
  </x:sheets>
</x:workbook>
</file>

<file path=xl/comments1.xml><?xml version="1.0" encoding="utf-8"?>
<x:comments xmlns:x="http://schemas.openxmlformats.org/spreadsheetml/2006/main">
  <x:authors>
    <x:author/>
  </x:authors>
  <x:commentList>
    <x:comment ref="D15" authorId="0">
      <x:text>
        <x:r>
          <x:t>Source: Stripe domestic US card pricing, checked 2026-10-10. Includes the fixed fee in D16. https://stripe.com/pricing</x:t>
        </x:r>
      </x:text>
    </x:comment>
    <x:comment ref="D17" authorId="0">
      <x:text>
        <x:r>
          <x:t>Source: Stripe Billing pay-as-you-go 0.7%, checked 2026-10-10. https://stripe.com/billing/pricing</x:t>
        </x:r>
      </x:text>
    </x:comment>
    <x:comment ref="D18" authorId="0">
      <x:text>
        <x:r>
          <x:t>Planning assumption: 5% retained cash buffer. This is not an actual refund expense.</x:t>
        </x:r>
      </x:text>
    </x:comment>
    <x:comment ref="D19" authorId="0">
      <x:text>
        <x:r>
          <x:t>Planning assumption: no paid tools for the first 60 days. Future costs require sales coverage.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.00;(&quot;$&quot;#,##0.00);&quot;-&quot;"/>
    <x:numFmt numFmtId="201" formatCode="0"/>
    <x:numFmt numFmtId="202" formatCode="0.0%"/>
    <x:numFmt numFmtId="203" formatCode="0.0"/>
    <x:numFmt numFmtId="204" formatCode="mm/dd/yy"/>
  </x:numFmts>
  <x:fonts count="9">
    <x:font>
      <x:sz val="11"/>
      <x:name val="Carlito"/>
    </x:font>
    <x:font>
      <x:sz val="10"/>
      <x:color rgb="FF243C32"/>
      <x:name val="Arial"/>
    </x:font>
    <x:font>
      <x:b/>
      <x:sz val="16"/>
      <x:color rgb="FF243C32"/>
      <x:name val="Arial"/>
    </x:font>
    <x:font>
      <x:i/>
      <x:sz val="10"/>
      <x:color rgb="FF657268"/>
      <x:name val="Arial"/>
    </x:font>
    <x:font>
      <x:b/>
      <x:sz val="10"/>
      <x:color rgb="FF243C32"/>
      <x:name val="Arial"/>
    </x:font>
    <x:font>
      <x:sz val="10"/>
      <x:color rgb="FF1D4ED8"/>
      <x:name val="Arial"/>
    </x:font>
    <x:font>
      <x:sz val="10"/>
      <x:color rgb="FF000000"/>
      <x:name val="Arial"/>
    </x:font>
    <x:font>
      <x:sz val="10"/>
      <x:color rgb="FF60716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4EADB"/>
      </x:patternFill>
    </x:fill>
    <x:fill>
      <x:patternFill patternType="solid">
        <x:fgColor rgb="FFFFF3CD"/>
      </x:patternFill>
    </x:fill>
    <x:fill>
      <x:patternFill patternType="solid">
        <x:fgColor rgb="FF243C3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A32620"/>
      </x:font>
      <x:fill>
        <x:patternFill patternType="solid">
          <x:bgColor rgb="FFFDE6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7b894e7cc43ff" /><Relationship Type="http://schemas.openxmlformats.org/officeDocument/2006/relationships/theme" Target="/xl/theme/theme1.xml" Id="Rec93a5a048794c85" /><Relationship Type="http://schemas.openxmlformats.org/officeDocument/2006/relationships/sharedStrings" Target="/xl/sharedStrings.xml" Id="R0d855bcf004242ab" /><Relationship Type="http://schemas.openxmlformats.org/officeDocument/2006/relationships/worksheet" Target="/xl/worksheets/sheet1.xml" Id="R8cf8b2169d354de2" /><Relationship Type="http://schemas.openxmlformats.org/officeDocument/2006/relationships/worksheet" Target="/xl/worksheets/sheet2.xml" Id="R9ebc7b25f20144ee" /><Relationship Type="http://schemas.openxmlformats.org/officeDocument/2006/relationships/worksheet" Target="/xl/worksheets/sheet3.xml" Id="R0b0a428e9c1f48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f19b4942408446b" /><Relationship Type="http://schemas.openxmlformats.org/officeDocument/2006/relationships/vmlDrawing" Target="/xl/drawings/vmldrawing.vml" Id="Rb8e544df3a474b55" /></Relationships>
</file>

<file path=xl/worksheets/sheet1.xml><?xml version="1.0" encoding="utf-8"?>
<x:worksheet xmlns:x="http://schemas.openxmlformats.org/spreadsheetml/2006/main">
  <x:sheetPr>
    <x:tabColor rgb="FF243C32"/>
  </x:sheetPr>
  <x:sheetViews>
    <x:sheetView showGridLines="0" workbookViewId="0"/>
  </x:sheetViews>
  <x:sheetFormatPr defaultRowHeight="15"/>
  <x:cols>
    <x:col min="1" max="1" width="2" hidden="0" customWidth="1"/>
    <x:col min="2" max="2" width="40" hidden="0" customWidth="1"/>
    <x:col min="3" max="3" width="3" hidden="0" customWidth="1"/>
    <x:col min="4" max="4" width="18" hidden="0" customWidth="1"/>
    <x:col min="5" max="5" width="3" hidden="0" customWidth="1"/>
    <x:col min="6" max="6" width="18" hidden="0" customWidth="1"/>
    <x:col min="7" max="7" width="18" hidden="0" customWidth="1"/>
    <x:col min="8" max="8" width="18" hidden="0" customWidth="1"/>
  </x:cols>
  <x:sheetData>
    <x:row r="2" ht="23" customHeight="1">
      <x:c r="B2" s="3" t="str">
        <x:v>Care income target</x:v>
      </x:c>
      <x:c r="C2" s="2"/>
      <x:c r="D2" s="2"/>
      <x:c r="E2" s="2"/>
      <x:c r="F2" s="2"/>
      <x:c r="G2" s="2"/>
      <x:c r="H2" s="2"/>
    </x:row>
    <x:row r="3" ht="23" customHeight="1">
      <x:c r="B3" s="4" t="str">
        <x:v>Monthly USD. Forecast assumptions, not actual sales.</x:v>
      </x:c>
      <x:c r="C3" s="2"/>
      <x:c r="D3" s="2"/>
      <x:c r="E3" s="2"/>
      <x:c r="F3" s="2"/>
      <x:c r="G3" s="2"/>
      <x:c r="H3" s="2"/>
    </x:row>
    <x:row r="4" ht="23" customHeight="1">
      <x:c r="B4" s="2"/>
      <x:c r="C4" s="2"/>
      <x:c r="D4" s="2"/>
      <x:c r="E4" s="2"/>
      <x:c r="F4" s="2"/>
      <x:c r="G4" s="2"/>
      <x:c r="H4" s="2"/>
    </x:row>
    <x:row r="5" ht="27" customHeight="1">
      <x:c r="B5" s="2" t="str">
        <x:v>Contribution per care customer</x:v>
      </x:c>
      <x:c r="C5" s="2"/>
      <x:c r="D5" s="16" t="n">
        <x:f>D31</x:f>
        <x:v>44.49</x:v>
      </x:c>
      <x:c r="E5" s="2"/>
      <x:c r="F5" s="19" t="str">
        <x:v>First 60 days: $0 out of pocket.</x:v>
      </x:c>
      <x:c r="G5" s="2"/>
      <x:c r="H5" s="2"/>
    </x:row>
    <x:row r="6" ht="27" customHeight="1">
      <x:c r="B6" s="2" t="str">
        <x:v>Customers for $200/month</x:v>
      </x:c>
      <x:c r="C6" s="2"/>
      <x:c r="D6" s="17" t="n">
        <x:f>IF(ISNUMBER(D31),IF(D31&gt;0,ROUNDUP((200+D20)/D31,0),"n.a."),"n.a.")</x:f>
        <x:v>5</x:v>
      </x:c>
      <x:c r="E6" s="2"/>
      <x:c r="F6" s="2"/>
      <x:c r="G6" s="2"/>
      <x:c r="H6" s="2"/>
    </x:row>
    <x:row r="7" ht="27" customHeight="1">
      <x:c r="B7" s="2" t="str">
        <x:v>Customers for $500/month</x:v>
      </x:c>
      <x:c r="C7" s="2"/>
      <x:c r="D7" s="17" t="n">
        <x:f>IF(ISNUMBER(D31),IF(D31&gt;0,ROUNDUP((500+D20)/D31,0),"n.a."),"n.a.")</x:f>
        <x:v>12</x:v>
      </x:c>
      <x:c r="E7" s="2"/>
      <x:c r="F7" s="19" t="str">
        <x:v>Fees come out of buyer payments.</x:v>
      </x:c>
      <x:c r="G7" s="2"/>
      <x:c r="H7" s="2"/>
    </x:row>
    <x:row r="8" ht="27" customHeight="1">
      <x:c r="B8" s="2" t="str">
        <x:v>Contribution at 5 customers</x:v>
      </x:c>
      <x:c r="C8" s="2"/>
      <x:c r="D8" s="16" t="n">
        <x:f>IF(ISNUMBER(D31),5*D31-D20,"n.a.")</x:f>
        <x:v>222.45000000000002</x:v>
      </x:c>
      <x:c r="E8" s="2"/>
      <x:c r="F8" s="2"/>
      <x:c r="G8" s="2"/>
      <x:c r="H8" s="2"/>
    </x:row>
    <x:row r="9" ht="27" customHeight="1">
      <x:c r="B9" s="2" t="str">
        <x:v>Contribution at 12 customers</x:v>
      </x:c>
      <x:c r="C9" s="2"/>
      <x:c r="D9" s="16" t="n">
        <x:f>IF(ISNUMBER(D31),12*D31-D20,"n.a.")</x:f>
        <x:v>533.88</x:v>
      </x:c>
      <x:c r="E9" s="2"/>
      <x:c r="F9" s="19" t="str">
        <x:v>Before personal taxes and owner time.</x:v>
      </x:c>
      <x:c r="G9" s="2"/>
      <x:c r="H9" s="2"/>
    </x:row>
    <x:row r="10" ht="27" customHeight="1">
      <x:c r="B10" s="2" t="str">
        <x:v>Customers for $200 after owner time</x:v>
      </x:c>
      <x:c r="C10" s="2"/>
      <x:c r="D10" s="17" t="n">
        <x:f>IF(COUNT(D31:D33)=3,IF(D31&gt;D32,ROUNDUP((200+D20+D33)/(D31-D32),0),"n.a."),"n.a.")</x:f>
        <x:v>9</x:v>
      </x:c>
      <x:c r="E10" s="2"/>
      <x:c r="F10" s="2"/>
      <x:c r="G10" s="2"/>
      <x:c r="H10" s="2"/>
    </x:row>
    <x:row r="11" ht="27" customHeight="1">
      <x:c r="B11" s="2" t="str">
        <x:v>Customers for $500 after owner time</x:v>
      </x:c>
      <x:c r="C11" s="2"/>
      <x:c r="D11" s="17" t="n">
        <x:f>IF(COUNT(D31:D33)=3,IF(D31&gt;D32,ROUNDUP((500+D20+D33)/(D31-D32),0),"n.a."),"n.a.")</x:f>
        <x:v>17</x:v>
      </x:c>
      <x:c r="E11" s="2"/>
      <x:c r="F11" s="19" t="str">
        <x:v>No sales have been recorded.</x:v>
      </x:c>
      <x:c r="G11" s="2"/>
      <x:c r="H11" s="2"/>
    </x:row>
    <x:row r="12" ht="23" customHeight="1">
      <x:c r="B12" s="2"/>
      <x:c r="C12" s="2"/>
      <x:c r="D12" s="9"/>
      <x:c r="E12" s="2"/>
      <x:c r="F12" s="2"/>
      <x:c r="G12" s="2"/>
      <x:c r="H12" s="2"/>
    </x:row>
    <x:row r="13" ht="23" customHeight="1">
      <x:c r="B13" s="6" t="str">
        <x:v>Editable assumptions</x:v>
      </x:c>
      <x:c r="C13" s="6"/>
      <x:c r="D13" s="10"/>
      <x:c r="E13" s="2"/>
      <x:c r="F13" s="2"/>
      <x:c r="G13" s="2"/>
      <x:c r="H13" s="2"/>
    </x:row>
    <x:row r="14" ht="23" customHeight="1">
      <x:c r="B14" s="2" t="str">
        <x:v>Care price per month</x:v>
      </x:c>
      <x:c r="C14" s="2"/>
      <x:c r="D14" s="11" t="n">
        <x:v>49</x:v>
      </x:c>
      <x:c r="E14" s="2"/>
      <x:c r="F14" s="19" t="str">
        <x:v>Blue / amber cells are editable.</x:v>
      </x:c>
      <x:c r="G14" s="2"/>
      <x:c r="H14" s="2"/>
    </x:row>
    <x:row r="15" ht="23" customHeight="1">
      <x:c r="B15" s="2" t="str">
        <x:v>Card processing rate</x:v>
      </x:c>
      <x:c r="C15" s="2"/>
      <x:c r="D15" s="13" t="n">
        <x:v>0.029</x:v>
      </x:c>
      <x:c r="E15" s="2"/>
      <x:c r="F15" s="2"/>
      <x:c r="G15" s="2"/>
      <x:c r="H15" s="2"/>
    </x:row>
    <x:row r="16" ht="23" customHeight="1">
      <x:c r="B16" s="2" t="str">
        <x:v>Card fixed fee</x:v>
      </x:c>
      <x:c r="C16" s="2"/>
      <x:c r="D16" s="11" t="n">
        <x:v>0.3</x:v>
      </x:c>
      <x:c r="E16" s="2"/>
      <x:c r="F16" s="19" t="str">
        <x:v>Hosting uses free accounts/subdomains.</x:v>
      </x:c>
      <x:c r="G16" s="2"/>
      <x:c r="H16" s="2"/>
    </x:row>
    <x:row r="17" ht="23" customHeight="1">
      <x:c r="B17" s="2" t="str">
        <x:v>Subscription billing rate</x:v>
      </x:c>
      <x:c r="C17" s="2"/>
      <x:c r="D17" s="13" t="n">
        <x:v>0.007</x:v>
      </x:c>
      <x:c r="E17" s="2"/>
      <x:c r="F17" s="2"/>
      <x:c r="G17" s="2"/>
      <x:c r="H17" s="2"/>
    </x:row>
    <x:row r="18" ht="23" customHeight="1">
      <x:c r="B18" s="2" t="str">
        <x:v>Refund reserve rate</x:v>
      </x:c>
      <x:c r="C18" s="2"/>
      <x:c r="D18" s="13" t="n">
        <x:v>0.05</x:v>
      </x:c>
      <x:c r="E18" s="2"/>
      <x:c r="F18" s="19" t="str">
        <x:v>The reserve is retained cash.</x:v>
      </x:c>
      <x:c r="G18" s="2"/>
      <x:c r="H18" s="2"/>
    </x:row>
    <x:row r="19" ht="23" customHeight="1">
      <x:c r="B19" s="2" t="str">
        <x:v>Operating cost per customer</x:v>
      </x:c>
      <x:c r="C19" s="2"/>
      <x:c r="D19" s="11" t="n">
        <x:v>0</x:v>
      </x:c>
      <x:c r="E19" s="2"/>
      <x:c r="F19" s="2"/>
      <x:c r="G19" s="2"/>
      <x:c r="H19" s="2"/>
    </x:row>
    <x:row r="20" ht="23" customHeight="1">
      <x:c r="B20" s="2" t="str">
        <x:v>Fixed operating cost per month</x:v>
      </x:c>
      <x:c r="C20" s="2"/>
      <x:c r="D20" s="11" t="n">
        <x:v>0</x:v>
      </x:c>
      <x:c r="E20" s="2"/>
      <x:c r="F20" s="19" t="str">
        <x:v>Change costs when actually incurred.</x:v>
      </x:c>
      <x:c r="G20" s="2"/>
      <x:c r="H20" s="2"/>
    </x:row>
    <x:row r="21" ht="23" customHeight="1">
      <x:c r="B21" s="2" t="str">
        <x:v>Support minutes per customer</x:v>
      </x:c>
      <x:c r="C21" s="2"/>
      <x:c r="D21" s="14" t="n">
        <x:v>20</x:v>
      </x:c>
      <x:c r="E21" s="2"/>
      <x:c r="F21" s="2"/>
      <x:c r="G21" s="2"/>
      <x:c r="H21" s="2"/>
    </x:row>
    <x:row r="22" ht="23" customHeight="1">
      <x:c r="B22" s="2" t="str">
        <x:v>Owner time value per hour</x:v>
      </x:c>
      <x:c r="C22" s="2"/>
      <x:c r="D22" s="11" t="n">
        <x:v>25</x:v>
      </x:c>
      <x:c r="E22" s="2"/>
      <x:c r="F22" s="19" t="str">
        <x:v>Care uptake and retention are unknown.</x:v>
      </x:c>
      <x:c r="G22" s="2"/>
      <x:c r="H22" s="2"/>
    </x:row>
    <x:row r="23" ht="23" customHeight="1">
      <x:c r="B23" s="2" t="str">
        <x:v>Sales/admin hours per month</x:v>
      </x:c>
      <x:c r="C23" s="2"/>
      <x:c r="D23" s="15" t="n">
        <x:v>4</x:v>
      </x:c>
      <x:c r="E23" s="2"/>
      <x:c r="F23" s="2"/>
      <x:c r="G23" s="2"/>
      <x:c r="H23" s="2"/>
    </x:row>
    <x:row r="24" ht="23" customHeight="1">
      <x:c r="B24" s="2"/>
      <x:c r="C24" s="2"/>
      <x:c r="D24" s="9"/>
      <x:c r="E24" s="2"/>
      <x:c r="F24" s="19" t="str">
        <x:v>Targets assume full paid monthly charges.</x:v>
      </x:c>
      <x:c r="G24" s="2"/>
      <x:c r="H24" s="2"/>
    </x:row>
    <x:row r="25" ht="23" customHeight="1">
      <x:c r="B25" s="2"/>
      <x:c r="C25" s="2"/>
      <x:c r="D25" s="9"/>
      <x:c r="E25" s="2"/>
      <x:c r="F25" s="2"/>
      <x:c r="G25" s="2"/>
      <x:c r="H25" s="2"/>
    </x:row>
    <x:row r="26" ht="23" customHeight="1">
      <x:c r="B26" s="6" t="str">
        <x:v>Per-customer calculation</x:v>
      </x:c>
      <x:c r="C26" s="6"/>
      <x:c r="D26" s="10"/>
      <x:c r="E26" s="2"/>
      <x:c r="F26" s="2"/>
      <x:c r="G26" s="2"/>
      <x:c r="H26" s="2"/>
    </x:row>
    <x:row r="27" ht="23" customHeight="1">
      <x:c r="B27" s="2" t="str">
        <x:v>Card processing fee</x:v>
      </x:c>
      <x:c r="C27" s="2"/>
      <x:c r="D27" s="18" t="n">
        <x:f>IF(COUNT(D14:D16)=3,ROUND(D14*D15,2)+D16,"n.a.")</x:f>
        <x:v>1.72</x:v>
      </x:c>
      <x:c r="E27" s="2"/>
      <x:c r="F27" s="2"/>
      <x:c r="G27" s="2"/>
      <x:c r="H27" s="2"/>
    </x:row>
    <x:row r="28" ht="23" customHeight="1">
      <x:c r="B28" s="2" t="str">
        <x:v>Billing fee</x:v>
      </x:c>
      <x:c r="C28" s="2"/>
      <x:c r="D28" s="18" t="n">
        <x:f>IF(COUNT(D14,D17)=2,ROUND(D14*D17,2),"n.a.")</x:f>
        <x:v>0.34</x:v>
      </x:c>
      <x:c r="E28" s="2"/>
      <x:c r="F28" s="2"/>
      <x:c r="G28" s="2"/>
      <x:c r="H28" s="2"/>
    </x:row>
    <x:row r="29" ht="23" customHeight="1">
      <x:c r="B29" s="2" t="str">
        <x:v>Refund reserve</x:v>
      </x:c>
      <x:c r="C29" s="2"/>
      <x:c r="D29" s="18" t="n">
        <x:f>IF(COUNT(D14,D18)=2,ROUND(D14*D18,2),"n.a.")</x:f>
        <x:v>2.45</x:v>
      </x:c>
      <x:c r="E29" s="2"/>
      <x:c r="F29" s="2"/>
      <x:c r="G29" s="2"/>
      <x:c r="H29" s="2"/>
    </x:row>
    <x:row r="30" ht="23" customHeight="1">
      <x:c r="B30" s="2" t="str">
        <x:v>Operating cost</x:v>
      </x:c>
      <x:c r="C30" s="2"/>
      <x:c r="D30" s="18" t="n">
        <x:f>IF(ISNUMBER(D19),D19,"n.a.")</x:f>
        <x:v>0</x:v>
      </x:c>
      <x:c r="E30" s="2"/>
      <x:c r="F30" s="2"/>
      <x:c r="G30" s="2"/>
      <x:c r="H30" s="2"/>
    </x:row>
    <x:row r="31" ht="23" customHeight="1">
      <x:c r="B31" s="2" t="str">
        <x:v>Contribution before owner time</x:v>
      </x:c>
      <x:c r="C31" s="2"/>
      <x:c r="D31" s="18" t="n">
        <x:f>IF(COUNT(D14:D20)=7,D14-SUM(D27:D30),"n.a.")</x:f>
        <x:v>44.49</x:v>
      </x:c>
      <x:c r="E31" s="2"/>
      <x:c r="F31" s="2"/>
      <x:c r="G31" s="2"/>
      <x:c r="H31" s="2"/>
    </x:row>
    <x:row r="32" ht="23" customHeight="1">
      <x:c r="B32" s="2" t="str">
        <x:v>Support time valued per customer</x:v>
      </x:c>
      <x:c r="C32" s="2"/>
      <x:c r="D32" s="18" t="n">
        <x:f>IF(COUNT(D21:D22)=2,D21/60*D22,"n.a.")</x:f>
        <x:v>8.333333333333332</x:v>
      </x:c>
      <x:c r="E32" s="2"/>
      <x:c r="F32" s="2"/>
      <x:c r="G32" s="2"/>
      <x:c r="H32" s="2"/>
    </x:row>
    <x:row r="33" ht="23" customHeight="1">
      <x:c r="B33" s="2" t="str">
        <x:v>Sales/admin time valued per month</x:v>
      </x:c>
      <x:c r="C33" s="2"/>
      <x:c r="D33" s="18" t="n">
        <x:f>IF(COUNT(D22:D23)=2,D22*D23,"n.a.")</x:f>
        <x:v>100</x:v>
      </x:c>
      <x:c r="E33" s="2"/>
      <x:c r="F33" s="2"/>
      <x:c r="G33" s="2"/>
      <x:c r="H33" s="2"/>
    </x:row>
    <x:row r="34" ht="23" customHeight="1">
      <x:c r="B34" s="2"/>
      <x:c r="C34" s="2"/>
      <x:c r="D34" s="2"/>
      <x:c r="E34" s="2"/>
      <x:c r="F34" s="2"/>
      <x:c r="G34" s="2"/>
      <x:c r="H34" s="2"/>
    </x:row>
  </x:sheetData>
  <x:dataValidations count="1">
    <x:dataValidation type="decimal" operator="greaterThanOrEqual" sqref="D14:D23">
      <x:formula1>0</x:formula1>
    </x:dataValidation>
  </x:dataValidations>
  <x:pageMargins left="0.7" right="0.7" top="0.75" bottom="0.75" header="0.3" footer="0.3"/>
  <x:legacyDrawing xmlns:r="http://schemas.openxmlformats.org/officeDocument/2006/relationships" r:id="Rb8e544df3a474b55"/>
</x:worksheet>
</file>

<file path=xl/worksheets/sheet2.xml><?xml version="1.0" encoding="utf-8"?>
<x:worksheet xmlns:x="http://schemas.openxmlformats.org/spreadsheetml/2006/main">
  <x:sheetPr>
    <x:tabColor rgb="FFB9C7AC"/>
  </x:sheetPr>
  <x:sheetViews>
    <x:sheetView showGridLines="0" workbookViewId="0">
      <x:pane xSplit="3" ySplit="13" topLeftCell="D14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3" hidden="0" customWidth="1"/>
    <x:col min="4" max="4" width="23" hidden="0" customWidth="1"/>
    <x:col min="5" max="5" width="14" hidden="0" customWidth="1"/>
    <x:col min="6" max="6" width="14" hidden="0" customWidth="1"/>
    <x:col min="7" max="7" width="14" hidden="0" customWidth="1"/>
    <x:col min="8" max="8" width="21" hidden="0" customWidth="1"/>
    <x:col min="9" max="9" width="24" hidden="0" customWidth="1"/>
    <x:col min="10" max="10" width="34" hidden="0" customWidth="1"/>
    <x:col min="11" max="11" width="19" hidden="0" customWidth="1"/>
  </x:cols>
  <x:sheetData>
    <x:row r="2" ht="23" customHeight="1">
      <x:c r="A2" s="3" t="str">
        <x:v>Actual cash 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2" t="str">
        <x:v>Enter actual receipts only. Amounts are positive USD. Enter 0 for unused amount fields.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2" t="str">
        <x:v>Period starts</x:v>
      </x:c>
      <x:c r="B5" s="22" t="d">
        <x:v>2026-10-11T00:00:00.000Z</x:v>
      </x:c>
      <x:c r="C5" s="2"/>
      <x:c r="D5" s="2" t="str">
        <x:v>Gross receipts</x:v>
      </x:c>
      <x:c r="E5" s="24" t="str">
        <x:f>IF(I7=0,"n.a.",IF(I8&gt;0,"n.a.",SUMIFS($D$14:$D$113,$A$14:$A$113,"&gt;="&amp;$B$5,$A$14:$A$113,"&lt;"&amp;$B$6)))</x:f>
        <x:v>n.a.</x:v>
      </x:c>
      <x:c r="F5" s="2"/>
      <x:c r="G5" s="2"/>
      <x:c r="H5" s="2" t="str">
        <x:v>Reserve rate</x:v>
      </x:c>
      <x:c r="I5" s="26" t="n">
        <x:f>'Profit target'!D18</x:f>
        <x:v>0.05</x:v>
      </x:c>
      <x:c r="J5" s="2"/>
      <x:c r="K5" s="2"/>
    </x:row>
    <x:row r="6" ht="23" customHeight="1">
      <x:c r="A6" s="2" t="str">
        <x:v>Ends before</x:v>
      </x:c>
      <x:c r="B6" s="22" t="d">
        <x:v>2026-11-10T00:00:00.000Z</x:v>
      </x:c>
      <x:c r="C6" s="2"/>
      <x:c r="D6" s="2" t="str">
        <x:v>Processor fees</x:v>
      </x:c>
      <x:c r="E6" s="24" t="str">
        <x:f>IF(I7=0,"n.a.",IF(I8&gt;0,"n.a.",SUMIFS($E$14:$E$113,$A$14:$A$113,"&gt;="&amp;$B$5,$A$14:$A$113,"&lt;"&amp;$B$6)))</x:f>
        <x:v>n.a.</x:v>
      </x:c>
      <x:c r="F6" s="2"/>
      <x:c r="G6" s="2"/>
      <x:c r="H6" s="2" t="str">
        <x:v>Retained reserve</x:v>
      </x:c>
      <x:c r="I6" s="24" t="str">
        <x:f>IF(COUNT(E5,E7,I5)=3,ROUND(MAX(0,E5-E7)*I5,2),"n.a.")</x:f>
        <x:v>n.a.</x:v>
      </x:c>
      <x:c r="J6" s="2"/>
      <x:c r="K6" s="2"/>
    </x:row>
    <x:row r="7" ht="23" customHeight="1">
      <x:c r="A7" s="2"/>
      <x:c r="B7" s="2"/>
      <x:c r="C7" s="2"/>
      <x:c r="D7" s="2" t="str">
        <x:v>Actual refunds</x:v>
      </x:c>
      <x:c r="E7" s="24" t="str">
        <x:f>IF(I7=0,"n.a.",IF(I8&gt;0,"n.a.",SUMIFS($F$14:$F$113,$A$14:$A$113,"&gt;="&amp;$B$5,$A$14:$A$113,"&lt;"&amp;$B$6)))</x:f>
        <x:v>n.a.</x:v>
      </x:c>
      <x:c r="F7" s="2"/>
      <x:c r="G7" s="2"/>
      <x:c r="H7" s="2" t="str">
        <x:v>Dated entries</x:v>
      </x:c>
      <x:c r="I7" s="27" t="n">
        <x:f>COUNTIFS($A$14:$A$113,"&gt;="&amp;$B$5,$A$14:$A$113,"&lt;"&amp;$B$6)</x:f>
        <x:v>0</x:v>
      </x:c>
      <x:c r="J7" s="2"/>
      <x:c r="K7" s="2"/>
    </x:row>
    <x:row r="8" ht="23" customHeight="1">
      <x:c r="A8" s="2"/>
      <x:c r="B8" s="2"/>
      <x:c r="C8" s="2"/>
      <x:c r="D8" s="2" t="str">
        <x:v>Other cash expense</x:v>
      </x:c>
      <x:c r="E8" s="24" t="str">
        <x:f>IF(I7=0,"n.a.",IF(I8&gt;0,"n.a.",SUMIFS($G$14:$G$113,$A$14:$A$113,"&gt;="&amp;$B$5,$A$14:$A$113,"&lt;"&amp;$B$6)))</x:f>
        <x:v>n.a.</x:v>
      </x:c>
      <x:c r="F8" s="2"/>
      <x:c r="G8" s="2"/>
      <x:c r="H8" s="2" t="str">
        <x:v>Missing amounts</x:v>
      </x:c>
      <x:c r="I8" s="27" t="n">
        <x:f>COUNTIFS($A$14:$A$113,"&gt;="&amp;$B$5,$A$14:$A$113,"&lt;"&amp;$B$6,$K$14:$K$113,"Enter amounts")</x:f>
        <x:v>0</x:v>
      </x:c>
      <x:c r="J8" s="2"/>
      <x:c r="K8" s="2"/>
    </x:row>
    <x:row r="9" ht="23" customHeight="1">
      <x:c r="A9" s="2"/>
      <x:c r="B9" s="2"/>
      <x:c r="C9" s="2"/>
      <x:c r="D9" s="2" t="str">
        <x:v>Net cash</x:v>
      </x:c>
      <x:c r="E9" s="25" t="str">
        <x:f>IF(COUNT(E5:E8)=4,E5-SUM(E6:E8),"n.a.")</x:f>
        <x:v>n.a.</x:v>
      </x:c>
      <x:c r="F9" s="2"/>
      <x:c r="G9" s="2"/>
      <x:c r="H9" s="2" t="str">
        <x:v>Owner hours</x:v>
      </x:c>
      <x:c r="I9" s="27" t="str">
        <x:f>IF(I7=0,"n.a.",SUMIFS($H$14:$H$113,$A$14:$A$113,"&gt;="&amp;$B$5,$A$14:$A$113,"&lt;"&amp;$B$6))</x:f>
        <x:v>n.a.</x:v>
      </x:c>
      <x:c r="J9" s="2"/>
      <x:c r="K9" s="2"/>
    </x:row>
    <x:row r="10" ht="23" customHeight="1">
      <x:c r="A10" s="2"/>
      <x:c r="B10" s="2"/>
      <x:c r="C10" s="2"/>
      <x:c r="D10" s="2" t="str">
        <x:v>Cash after reserve</x:v>
      </x:c>
      <x:c r="E10" s="25" t="str">
        <x:f>IF(COUNT(E9,I6)=2,E9-I6,"n.a.")</x:f>
        <x:v>n.a.</x:v>
      </x:c>
      <x:c r="F10" s="2"/>
      <x:c r="G10" s="2"/>
      <x:c r="H10" s="2"/>
      <x:c r="I10" s="2"/>
      <x:c r="J10" s="2"/>
      <x:c r="K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32" customHeight="1">
      <x:c r="A13" s="31" t="str">
        <x:v>Date collected</x:v>
      </x:c>
      <x:c r="B13" s="31" t="str">
        <x:v>Type</x:v>
      </x:c>
      <x:c r="C13" s="31" t="str">
        <x:v>Customer / vendor</x:v>
      </x:c>
      <x:c r="D13" s="31" t="str">
        <x:v>Gross received</x:v>
      </x:c>
      <x:c r="E13" s="31" t="str">
        <x:v>Fees paid</x:v>
      </x:c>
      <x:c r="F13" s="31" t="str">
        <x:v>Refunds paid</x:v>
      </x:c>
      <x:c r="G13" s="31" t="str">
        <x:v>Other expense</x:v>
      </x:c>
      <x:c r="H13" s="31" t="str">
        <x:v>Owner hours</x:v>
      </x:c>
      <x:c r="I13" s="31" t="str">
        <x:v>Receipt / reference</x:v>
      </x:c>
      <x:c r="J13" s="31" t="str">
        <x:v>Notes</x:v>
      </x:c>
      <x:c r="K13" s="31" t="str">
        <x:v>Amounts complete</x:v>
      </x:c>
    </x:row>
    <x:row r="14" ht="23" customHeight="1">
      <x:c r="A14" s="35"/>
      <x:c r="B14" s="32"/>
      <x:c r="C14" s="32"/>
      <x:c r="D14" s="33"/>
      <x:c r="E14" s="33"/>
      <x:c r="F14" s="33"/>
      <x:c r="G14" s="33"/>
      <x:c r="H14" s="34"/>
      <x:c r="I14" s="32"/>
      <x:c r="J14" s="32"/>
      <x:c r="K14" s="2" t="str">
        <x:f>IF(A14="","",IF(COUNT(D14:G14)=4,"Complete","Enter amounts"))</x:f>
      </x:c>
    </x:row>
    <x:row r="15" ht="23" customHeight="1">
      <x:c r="A15" s="35"/>
      <x:c r="B15" s="32"/>
      <x:c r="C15" s="32"/>
      <x:c r="D15" s="33"/>
      <x:c r="E15" s="33"/>
      <x:c r="F15" s="33"/>
      <x:c r="G15" s="33"/>
      <x:c r="H15" s="34"/>
      <x:c r="I15" s="32"/>
      <x:c r="J15" s="32"/>
      <x:c r="K15" s="2" t="str">
        <x:f>IF(A15="","",IF(COUNT(D15:G15)=4,"Complete","Enter amounts"))</x:f>
      </x:c>
    </x:row>
    <x:row r="16" ht="23" customHeight="1">
      <x:c r="A16" s="35"/>
      <x:c r="B16" s="32"/>
      <x:c r="C16" s="32"/>
      <x:c r="D16" s="33"/>
      <x:c r="E16" s="33"/>
      <x:c r="F16" s="33"/>
      <x:c r="G16" s="33"/>
      <x:c r="H16" s="34"/>
      <x:c r="I16" s="32"/>
      <x:c r="J16" s="32"/>
      <x:c r="K16" s="2" t="str">
        <x:f>IF(A16="","",IF(COUNT(D16:G16)=4,"Complete","Enter amounts"))</x:f>
      </x:c>
    </x:row>
    <x:row r="17" ht="23" customHeight="1">
      <x:c r="A17" s="35"/>
      <x:c r="B17" s="32"/>
      <x:c r="C17" s="32"/>
      <x:c r="D17" s="33"/>
      <x:c r="E17" s="33"/>
      <x:c r="F17" s="33"/>
      <x:c r="G17" s="33"/>
      <x:c r="H17" s="34"/>
      <x:c r="I17" s="32"/>
      <x:c r="J17" s="32"/>
      <x:c r="K17" s="2" t="str">
        <x:f>IF(A17="","",IF(COUNT(D17:G17)=4,"Complete","Enter amounts"))</x:f>
      </x:c>
    </x:row>
    <x:row r="18" ht="23" customHeight="1">
      <x:c r="A18" s="35"/>
      <x:c r="B18" s="32"/>
      <x:c r="C18" s="32"/>
      <x:c r="D18" s="33"/>
      <x:c r="E18" s="33"/>
      <x:c r="F18" s="33"/>
      <x:c r="G18" s="33"/>
      <x:c r="H18" s="34"/>
      <x:c r="I18" s="32"/>
      <x:c r="J18" s="32"/>
      <x:c r="K18" s="2" t="str">
        <x:f>IF(A18="","",IF(COUNT(D18:G18)=4,"Complete","Enter amounts"))</x:f>
      </x:c>
    </x:row>
    <x:row r="19" ht="23" customHeight="1">
      <x:c r="A19" s="35"/>
      <x:c r="B19" s="32"/>
      <x:c r="C19" s="32"/>
      <x:c r="D19" s="33"/>
      <x:c r="E19" s="33"/>
      <x:c r="F19" s="33"/>
      <x:c r="G19" s="33"/>
      <x:c r="H19" s="34"/>
      <x:c r="I19" s="32"/>
      <x:c r="J19" s="32"/>
      <x:c r="K19" s="2" t="str">
        <x:f>IF(A19="","",IF(COUNT(D19:G19)=4,"Complete","Enter amounts"))</x:f>
      </x:c>
    </x:row>
    <x:row r="20" ht="23" customHeight="1">
      <x:c r="A20" s="35"/>
      <x:c r="B20" s="32"/>
      <x:c r="C20" s="32"/>
      <x:c r="D20" s="33"/>
      <x:c r="E20" s="33"/>
      <x:c r="F20" s="33"/>
      <x:c r="G20" s="33"/>
      <x:c r="H20" s="34"/>
      <x:c r="I20" s="32"/>
      <x:c r="J20" s="32"/>
      <x:c r="K20" s="2" t="str">
        <x:f>IF(A20="","",IF(COUNT(D20:G20)=4,"Complete","Enter amounts"))</x:f>
      </x:c>
    </x:row>
    <x:row r="21" ht="23" customHeight="1">
      <x:c r="A21" s="35"/>
      <x:c r="B21" s="32"/>
      <x:c r="C21" s="32"/>
      <x:c r="D21" s="33"/>
      <x:c r="E21" s="33"/>
      <x:c r="F21" s="33"/>
      <x:c r="G21" s="33"/>
      <x:c r="H21" s="34"/>
      <x:c r="I21" s="32"/>
      <x:c r="J21" s="32"/>
      <x:c r="K21" s="2" t="str">
        <x:f>IF(A21="","",IF(COUNT(D21:G21)=4,"Complete","Enter amounts"))</x:f>
      </x:c>
    </x:row>
    <x:row r="22" ht="23" customHeight="1">
      <x:c r="A22" s="35"/>
      <x:c r="B22" s="32"/>
      <x:c r="C22" s="32"/>
      <x:c r="D22" s="33"/>
      <x:c r="E22" s="33"/>
      <x:c r="F22" s="33"/>
      <x:c r="G22" s="33"/>
      <x:c r="H22" s="34"/>
      <x:c r="I22" s="32"/>
      <x:c r="J22" s="32"/>
      <x:c r="K22" s="2" t="str">
        <x:f>IF(A22="","",IF(COUNT(D22:G22)=4,"Complete","Enter amounts"))</x:f>
      </x:c>
    </x:row>
    <x:row r="23" ht="23" customHeight="1">
      <x:c r="A23" s="35"/>
      <x:c r="B23" s="32"/>
      <x:c r="C23" s="32"/>
      <x:c r="D23" s="33"/>
      <x:c r="E23" s="33"/>
      <x:c r="F23" s="33"/>
      <x:c r="G23" s="33"/>
      <x:c r="H23" s="34"/>
      <x:c r="I23" s="32"/>
      <x:c r="J23" s="32"/>
      <x:c r="K23" s="2" t="str">
        <x:f>IF(A23="","",IF(COUNT(D23:G23)=4,"Complete","Enter amounts"))</x:f>
      </x:c>
    </x:row>
    <x:row r="24" ht="23" customHeight="1">
      <x:c r="A24" s="35"/>
      <x:c r="B24" s="32"/>
      <x:c r="C24" s="32"/>
      <x:c r="D24" s="33"/>
      <x:c r="E24" s="33"/>
      <x:c r="F24" s="33"/>
      <x:c r="G24" s="33"/>
      <x:c r="H24" s="34"/>
      <x:c r="I24" s="32"/>
      <x:c r="J24" s="32"/>
      <x:c r="K24" s="2" t="str">
        <x:f>IF(A24="","",IF(COUNT(D24:G24)=4,"Complete","Enter amounts"))</x:f>
      </x:c>
    </x:row>
    <x:row r="25" ht="23" customHeight="1">
      <x:c r="A25" s="35"/>
      <x:c r="B25" s="32"/>
      <x:c r="C25" s="32"/>
      <x:c r="D25" s="33"/>
      <x:c r="E25" s="33"/>
      <x:c r="F25" s="33"/>
      <x:c r="G25" s="33"/>
      <x:c r="H25" s="34"/>
      <x:c r="I25" s="32"/>
      <x:c r="J25" s="32"/>
      <x:c r="K25" s="2" t="str">
        <x:f>IF(A25="","",IF(COUNT(D25:G25)=4,"Complete","Enter amounts"))</x:f>
      </x:c>
    </x:row>
    <x:row r="26" ht="23" customHeight="1">
      <x:c r="A26" s="35"/>
      <x:c r="B26" s="32"/>
      <x:c r="C26" s="32"/>
      <x:c r="D26" s="33"/>
      <x:c r="E26" s="33"/>
      <x:c r="F26" s="33"/>
      <x:c r="G26" s="33"/>
      <x:c r="H26" s="34"/>
      <x:c r="I26" s="32"/>
      <x:c r="J26" s="32"/>
      <x:c r="K26" s="2" t="str">
        <x:f>IF(A26="","",IF(COUNT(D26:G26)=4,"Complete","Enter amounts"))</x:f>
      </x:c>
    </x:row>
    <x:row r="27" ht="23" customHeight="1">
      <x:c r="A27" s="35"/>
      <x:c r="B27" s="32"/>
      <x:c r="C27" s="32"/>
      <x:c r="D27" s="33"/>
      <x:c r="E27" s="33"/>
      <x:c r="F27" s="33"/>
      <x:c r="G27" s="33"/>
      <x:c r="H27" s="34"/>
      <x:c r="I27" s="32"/>
      <x:c r="J27" s="32"/>
      <x:c r="K27" s="2" t="str">
        <x:f>IF(A27="","",IF(COUNT(D27:G27)=4,"Complete","Enter amounts"))</x:f>
      </x:c>
    </x:row>
    <x:row r="28" ht="23" customHeight="1">
      <x:c r="A28" s="35"/>
      <x:c r="B28" s="32"/>
      <x:c r="C28" s="32"/>
      <x:c r="D28" s="33"/>
      <x:c r="E28" s="33"/>
      <x:c r="F28" s="33"/>
      <x:c r="G28" s="33"/>
      <x:c r="H28" s="34"/>
      <x:c r="I28" s="32"/>
      <x:c r="J28" s="32"/>
      <x:c r="K28" s="2" t="str">
        <x:f>IF(A28="","",IF(COUNT(D28:G28)=4,"Complete","Enter amounts"))</x:f>
      </x:c>
    </x:row>
    <x:row r="29" ht="23" customHeight="1">
      <x:c r="A29" s="35"/>
      <x:c r="B29" s="32"/>
      <x:c r="C29" s="32"/>
      <x:c r="D29" s="33"/>
      <x:c r="E29" s="33"/>
      <x:c r="F29" s="33"/>
      <x:c r="G29" s="33"/>
      <x:c r="H29" s="34"/>
      <x:c r="I29" s="32"/>
      <x:c r="J29" s="32"/>
      <x:c r="K29" s="2" t="str">
        <x:f>IF(A29="","",IF(COUNT(D29:G29)=4,"Complete","Enter amounts"))</x:f>
      </x:c>
    </x:row>
    <x:row r="30" ht="23" customHeight="1">
      <x:c r="A30" s="35"/>
      <x:c r="B30" s="32"/>
      <x:c r="C30" s="32"/>
      <x:c r="D30" s="33"/>
      <x:c r="E30" s="33"/>
      <x:c r="F30" s="33"/>
      <x:c r="G30" s="33"/>
      <x:c r="H30" s="34"/>
      <x:c r="I30" s="32"/>
      <x:c r="J30" s="32"/>
      <x:c r="K30" s="2" t="str">
        <x:f>IF(A30="","",IF(COUNT(D30:G30)=4,"Complete","Enter amounts"))</x:f>
      </x:c>
    </x:row>
    <x:row r="31" ht="23" customHeight="1">
      <x:c r="A31" s="35"/>
      <x:c r="B31" s="32"/>
      <x:c r="C31" s="32"/>
      <x:c r="D31" s="33"/>
      <x:c r="E31" s="33"/>
      <x:c r="F31" s="33"/>
      <x:c r="G31" s="33"/>
      <x:c r="H31" s="34"/>
      <x:c r="I31" s="32"/>
      <x:c r="J31" s="32"/>
      <x:c r="K31" s="2" t="str">
        <x:f>IF(A31="","",IF(COUNT(D31:G31)=4,"Complete","Enter amounts"))</x:f>
      </x:c>
    </x:row>
    <x:row r="32" ht="23" customHeight="1">
      <x:c r="A32" s="35"/>
      <x:c r="B32" s="32"/>
      <x:c r="C32" s="32"/>
      <x:c r="D32" s="33"/>
      <x:c r="E32" s="33"/>
      <x:c r="F32" s="33"/>
      <x:c r="G32" s="33"/>
      <x:c r="H32" s="34"/>
      <x:c r="I32" s="32"/>
      <x:c r="J32" s="32"/>
      <x:c r="K32" s="2" t="str">
        <x:f>IF(A32="","",IF(COUNT(D32:G32)=4,"Complete","Enter amounts"))</x:f>
      </x:c>
    </x:row>
    <x:row r="33" ht="23" customHeight="1">
      <x:c r="A33" s="35"/>
      <x:c r="B33" s="32"/>
      <x:c r="C33" s="32"/>
      <x:c r="D33" s="33"/>
      <x:c r="E33" s="33"/>
      <x:c r="F33" s="33"/>
      <x:c r="G33" s="33"/>
      <x:c r="H33" s="34"/>
      <x:c r="I33" s="32"/>
      <x:c r="J33" s="32"/>
      <x:c r="K33" s="2" t="str">
        <x:f>IF(A33="","",IF(COUNT(D33:G33)=4,"Complete","Enter amounts"))</x:f>
      </x:c>
    </x:row>
    <x:row r="34" ht="23" customHeight="1">
      <x:c r="A34" s="35"/>
      <x:c r="B34" s="32"/>
      <x:c r="C34" s="32"/>
      <x:c r="D34" s="33"/>
      <x:c r="E34" s="33"/>
      <x:c r="F34" s="33"/>
      <x:c r="G34" s="33"/>
      <x:c r="H34" s="34"/>
      <x:c r="I34" s="32"/>
      <x:c r="J34" s="32"/>
      <x:c r="K34" s="2" t="str">
        <x:f>IF(A34="","",IF(COUNT(D34:G34)=4,"Complete","Enter amounts"))</x:f>
      </x:c>
    </x:row>
    <x:row r="35" ht="23" customHeight="1">
      <x:c r="A35" s="35"/>
      <x:c r="B35" s="32"/>
      <x:c r="C35" s="32"/>
      <x:c r="D35" s="33"/>
      <x:c r="E35" s="33"/>
      <x:c r="F35" s="33"/>
      <x:c r="G35" s="33"/>
      <x:c r="H35" s="34"/>
      <x:c r="I35" s="32"/>
      <x:c r="J35" s="32"/>
      <x:c r="K35" s="2" t="str">
        <x:f>IF(A35="","",IF(COUNT(D35:G35)=4,"Complete","Enter amounts"))</x:f>
      </x:c>
    </x:row>
    <x:row r="36" ht="23" customHeight="1">
      <x:c r="A36" s="35"/>
      <x:c r="B36" s="32"/>
      <x:c r="C36" s="32"/>
      <x:c r="D36" s="33"/>
      <x:c r="E36" s="33"/>
      <x:c r="F36" s="33"/>
      <x:c r="G36" s="33"/>
      <x:c r="H36" s="34"/>
      <x:c r="I36" s="32"/>
      <x:c r="J36" s="32"/>
      <x:c r="K36" s="2" t="str">
        <x:f>IF(A36="","",IF(COUNT(D36:G36)=4,"Complete","Enter amounts"))</x:f>
      </x:c>
    </x:row>
    <x:row r="37" ht="23" customHeight="1">
      <x:c r="A37" s="35"/>
      <x:c r="B37" s="32"/>
      <x:c r="C37" s="32"/>
      <x:c r="D37" s="33"/>
      <x:c r="E37" s="33"/>
      <x:c r="F37" s="33"/>
      <x:c r="G37" s="33"/>
      <x:c r="H37" s="34"/>
      <x:c r="I37" s="32"/>
      <x:c r="J37" s="32"/>
      <x:c r="K37" s="2" t="str">
        <x:f>IF(A37="","",IF(COUNT(D37:G37)=4,"Complete","Enter amounts"))</x:f>
      </x:c>
    </x:row>
    <x:row r="38" ht="23" customHeight="1">
      <x:c r="A38" s="35"/>
      <x:c r="B38" s="32"/>
      <x:c r="C38" s="32"/>
      <x:c r="D38" s="33"/>
      <x:c r="E38" s="33"/>
      <x:c r="F38" s="33"/>
      <x:c r="G38" s="33"/>
      <x:c r="H38" s="34"/>
      <x:c r="I38" s="32"/>
      <x:c r="J38" s="32"/>
      <x:c r="K38" s="2" t="str">
        <x:f>IF(A38="","",IF(COUNT(D38:G38)=4,"Complete","Enter amounts"))</x:f>
      </x:c>
    </x:row>
    <x:row r="39" ht="23" customHeight="1">
      <x:c r="A39" s="35"/>
      <x:c r="B39" s="32"/>
      <x:c r="C39" s="32"/>
      <x:c r="D39" s="33"/>
      <x:c r="E39" s="33"/>
      <x:c r="F39" s="33"/>
      <x:c r="G39" s="33"/>
      <x:c r="H39" s="34"/>
      <x:c r="I39" s="32"/>
      <x:c r="J39" s="32"/>
      <x:c r="K39" s="2" t="str">
        <x:f>IF(A39="","",IF(COUNT(D39:G39)=4,"Complete","Enter amounts"))</x:f>
      </x:c>
    </x:row>
    <x:row r="40" ht="23" customHeight="1">
      <x:c r="A40" s="35"/>
      <x:c r="B40" s="32"/>
      <x:c r="C40" s="32"/>
      <x:c r="D40" s="33"/>
      <x:c r="E40" s="33"/>
      <x:c r="F40" s="33"/>
      <x:c r="G40" s="33"/>
      <x:c r="H40" s="34"/>
      <x:c r="I40" s="32"/>
      <x:c r="J40" s="32"/>
      <x:c r="K40" s="2" t="str">
        <x:f>IF(A40="","",IF(COUNT(D40:G40)=4,"Complete","Enter amounts"))</x:f>
      </x:c>
    </x:row>
    <x:row r="41" ht="23" customHeight="1">
      <x:c r="A41" s="35"/>
      <x:c r="B41" s="32"/>
      <x:c r="C41" s="32"/>
      <x:c r="D41" s="33"/>
      <x:c r="E41" s="33"/>
      <x:c r="F41" s="33"/>
      <x:c r="G41" s="33"/>
      <x:c r="H41" s="34"/>
      <x:c r="I41" s="32"/>
      <x:c r="J41" s="32"/>
      <x:c r="K41" s="2" t="str">
        <x:f>IF(A41="","",IF(COUNT(D41:G41)=4,"Complete","Enter amounts"))</x:f>
      </x:c>
    </x:row>
    <x:row r="42" ht="23" customHeight="1">
      <x:c r="A42" s="35"/>
      <x:c r="B42" s="32"/>
      <x:c r="C42" s="32"/>
      <x:c r="D42" s="33"/>
      <x:c r="E42" s="33"/>
      <x:c r="F42" s="33"/>
      <x:c r="G42" s="33"/>
      <x:c r="H42" s="34"/>
      <x:c r="I42" s="32"/>
      <x:c r="J42" s="32"/>
      <x:c r="K42" s="2" t="str">
        <x:f>IF(A42="","",IF(COUNT(D42:G42)=4,"Complete","Enter amounts"))</x:f>
      </x:c>
    </x:row>
    <x:row r="43" ht="23" customHeight="1">
      <x:c r="A43" s="35"/>
      <x:c r="B43" s="32"/>
      <x:c r="C43" s="32"/>
      <x:c r="D43" s="33"/>
      <x:c r="E43" s="33"/>
      <x:c r="F43" s="33"/>
      <x:c r="G43" s="33"/>
      <x:c r="H43" s="34"/>
      <x:c r="I43" s="32"/>
      <x:c r="J43" s="32"/>
      <x:c r="K43" s="2" t="str">
        <x:f>IF(A43="","",IF(COUNT(D43:G43)=4,"Complete","Enter amounts"))</x:f>
      </x:c>
    </x:row>
    <x:row r="44" ht="23" customHeight="1">
      <x:c r="A44" s="35"/>
      <x:c r="B44" s="32"/>
      <x:c r="C44" s="32"/>
      <x:c r="D44" s="33"/>
      <x:c r="E44" s="33"/>
      <x:c r="F44" s="33"/>
      <x:c r="G44" s="33"/>
      <x:c r="H44" s="34"/>
      <x:c r="I44" s="32"/>
      <x:c r="J44" s="32"/>
      <x:c r="K44" s="2" t="str">
        <x:f>IF(A44="","",IF(COUNT(D44:G44)=4,"Complete","Enter amounts"))</x:f>
      </x:c>
    </x:row>
    <x:row r="45" ht="23" customHeight="1">
      <x:c r="A45" s="35"/>
      <x:c r="B45" s="32"/>
      <x:c r="C45" s="32"/>
      <x:c r="D45" s="33"/>
      <x:c r="E45" s="33"/>
      <x:c r="F45" s="33"/>
      <x:c r="G45" s="33"/>
      <x:c r="H45" s="34"/>
      <x:c r="I45" s="32"/>
      <x:c r="J45" s="32"/>
      <x:c r="K45" s="2" t="str">
        <x:f>IF(A45="","",IF(COUNT(D45:G45)=4,"Complete","Enter amounts"))</x:f>
      </x:c>
    </x:row>
    <x:row r="46" ht="23" customHeight="1">
      <x:c r="A46" s="35"/>
      <x:c r="B46" s="32"/>
      <x:c r="C46" s="32"/>
      <x:c r="D46" s="33"/>
      <x:c r="E46" s="33"/>
      <x:c r="F46" s="33"/>
      <x:c r="G46" s="33"/>
      <x:c r="H46" s="34"/>
      <x:c r="I46" s="32"/>
      <x:c r="J46" s="32"/>
      <x:c r="K46" s="2" t="str">
        <x:f>IF(A46="","",IF(COUNT(D46:G46)=4,"Complete","Enter amounts"))</x:f>
      </x:c>
    </x:row>
    <x:row r="47" ht="23" customHeight="1">
      <x:c r="A47" s="35"/>
      <x:c r="B47" s="32"/>
      <x:c r="C47" s="32"/>
      <x:c r="D47" s="33"/>
      <x:c r="E47" s="33"/>
      <x:c r="F47" s="33"/>
      <x:c r="G47" s="33"/>
      <x:c r="H47" s="34"/>
      <x:c r="I47" s="32"/>
      <x:c r="J47" s="32"/>
      <x:c r="K47" s="2" t="str">
        <x:f>IF(A47="","",IF(COUNT(D47:G47)=4,"Complete","Enter amounts"))</x:f>
      </x:c>
    </x:row>
    <x:row r="48" ht="23" customHeight="1">
      <x:c r="A48" s="35"/>
      <x:c r="B48" s="32"/>
      <x:c r="C48" s="32"/>
      <x:c r="D48" s="33"/>
      <x:c r="E48" s="33"/>
      <x:c r="F48" s="33"/>
      <x:c r="G48" s="33"/>
      <x:c r="H48" s="34"/>
      <x:c r="I48" s="32"/>
      <x:c r="J48" s="32"/>
      <x:c r="K48" s="2" t="str">
        <x:f>IF(A48="","",IF(COUNT(D48:G48)=4,"Complete","Enter amounts"))</x:f>
      </x:c>
    </x:row>
    <x:row r="49" ht="23" customHeight="1">
      <x:c r="A49" s="35"/>
      <x:c r="B49" s="32"/>
      <x:c r="C49" s="32"/>
      <x:c r="D49" s="33"/>
      <x:c r="E49" s="33"/>
      <x:c r="F49" s="33"/>
      <x:c r="G49" s="33"/>
      <x:c r="H49" s="34"/>
      <x:c r="I49" s="32"/>
      <x:c r="J49" s="32"/>
      <x:c r="K49" s="2" t="str">
        <x:f>IF(A49="","",IF(COUNT(D49:G49)=4,"Complete","Enter amounts"))</x:f>
      </x:c>
    </x:row>
    <x:row r="50" ht="23" customHeight="1">
      <x:c r="A50" s="35"/>
      <x:c r="B50" s="32"/>
      <x:c r="C50" s="32"/>
      <x:c r="D50" s="33"/>
      <x:c r="E50" s="33"/>
      <x:c r="F50" s="33"/>
      <x:c r="G50" s="33"/>
      <x:c r="H50" s="34"/>
      <x:c r="I50" s="32"/>
      <x:c r="J50" s="32"/>
      <x:c r="K50" s="2" t="str">
        <x:f>IF(A50="","",IF(COUNT(D50:G50)=4,"Complete","Enter amounts"))</x:f>
      </x:c>
    </x:row>
    <x:row r="51" ht="23" customHeight="1">
      <x:c r="A51" s="35"/>
      <x:c r="B51" s="32"/>
      <x:c r="C51" s="32"/>
      <x:c r="D51" s="33"/>
      <x:c r="E51" s="33"/>
      <x:c r="F51" s="33"/>
      <x:c r="G51" s="33"/>
      <x:c r="H51" s="34"/>
      <x:c r="I51" s="32"/>
      <x:c r="J51" s="32"/>
      <x:c r="K51" s="2" t="str">
        <x:f>IF(A51="","",IF(COUNT(D51:G51)=4,"Complete","Enter amounts"))</x:f>
      </x:c>
    </x:row>
    <x:row r="52" ht="23" customHeight="1">
      <x:c r="A52" s="35"/>
      <x:c r="B52" s="32"/>
      <x:c r="C52" s="32"/>
      <x:c r="D52" s="33"/>
      <x:c r="E52" s="33"/>
      <x:c r="F52" s="33"/>
      <x:c r="G52" s="33"/>
      <x:c r="H52" s="34"/>
      <x:c r="I52" s="32"/>
      <x:c r="J52" s="32"/>
      <x:c r="K52" s="2" t="str">
        <x:f>IF(A52="","",IF(COUNT(D52:G52)=4,"Complete","Enter amounts"))</x:f>
      </x:c>
    </x:row>
    <x:row r="53" ht="23" customHeight="1">
      <x:c r="A53" s="35"/>
      <x:c r="B53" s="32"/>
      <x:c r="C53" s="32"/>
      <x:c r="D53" s="33"/>
      <x:c r="E53" s="33"/>
      <x:c r="F53" s="33"/>
      <x:c r="G53" s="33"/>
      <x:c r="H53" s="34"/>
      <x:c r="I53" s="32"/>
      <x:c r="J53" s="32"/>
      <x:c r="K53" s="2" t="str">
        <x:f>IF(A53="","",IF(COUNT(D53:G53)=4,"Complete","Enter amounts"))</x:f>
      </x:c>
    </x:row>
    <x:row r="54" ht="23" customHeight="1">
      <x:c r="A54" s="35"/>
      <x:c r="B54" s="32"/>
      <x:c r="C54" s="32"/>
      <x:c r="D54" s="33"/>
      <x:c r="E54" s="33"/>
      <x:c r="F54" s="33"/>
      <x:c r="G54" s="33"/>
      <x:c r="H54" s="34"/>
      <x:c r="I54" s="32"/>
      <x:c r="J54" s="32"/>
      <x:c r="K54" s="2" t="str">
        <x:f>IF(A54="","",IF(COUNT(D54:G54)=4,"Complete","Enter amounts"))</x:f>
      </x:c>
    </x:row>
    <x:row r="55" ht="23" customHeight="1">
      <x:c r="A55" s="35"/>
      <x:c r="B55" s="32"/>
      <x:c r="C55" s="32"/>
      <x:c r="D55" s="33"/>
      <x:c r="E55" s="33"/>
      <x:c r="F55" s="33"/>
      <x:c r="G55" s="33"/>
      <x:c r="H55" s="34"/>
      <x:c r="I55" s="32"/>
      <x:c r="J55" s="32"/>
      <x:c r="K55" s="2" t="str">
        <x:f>IF(A55="","",IF(COUNT(D55:G55)=4,"Complete","Enter amounts"))</x:f>
      </x:c>
    </x:row>
    <x:row r="56" ht="23" customHeight="1">
      <x:c r="A56" s="35"/>
      <x:c r="B56" s="32"/>
      <x:c r="C56" s="32"/>
      <x:c r="D56" s="33"/>
      <x:c r="E56" s="33"/>
      <x:c r="F56" s="33"/>
      <x:c r="G56" s="33"/>
      <x:c r="H56" s="34"/>
      <x:c r="I56" s="32"/>
      <x:c r="J56" s="32"/>
      <x:c r="K56" s="2" t="str">
        <x:f>IF(A56="","",IF(COUNT(D56:G56)=4,"Complete","Enter amounts"))</x:f>
      </x:c>
    </x:row>
    <x:row r="57" ht="23" customHeight="1">
      <x:c r="A57" s="35"/>
      <x:c r="B57" s="32"/>
      <x:c r="C57" s="32"/>
      <x:c r="D57" s="33"/>
      <x:c r="E57" s="33"/>
      <x:c r="F57" s="33"/>
      <x:c r="G57" s="33"/>
      <x:c r="H57" s="34"/>
      <x:c r="I57" s="32"/>
      <x:c r="J57" s="32"/>
      <x:c r="K57" s="2" t="str">
        <x:f>IF(A57="","",IF(COUNT(D57:G57)=4,"Complete","Enter amounts"))</x:f>
      </x:c>
    </x:row>
    <x:row r="58" ht="23" customHeight="1">
      <x:c r="A58" s="35"/>
      <x:c r="B58" s="32"/>
      <x:c r="C58" s="32"/>
      <x:c r="D58" s="33"/>
      <x:c r="E58" s="33"/>
      <x:c r="F58" s="33"/>
      <x:c r="G58" s="33"/>
      <x:c r="H58" s="34"/>
      <x:c r="I58" s="32"/>
      <x:c r="J58" s="32"/>
      <x:c r="K58" s="2" t="str">
        <x:f>IF(A58="","",IF(COUNT(D58:G58)=4,"Complete","Enter amounts"))</x:f>
      </x:c>
    </x:row>
    <x:row r="59" ht="23" customHeight="1">
      <x:c r="A59" s="35"/>
      <x:c r="B59" s="32"/>
      <x:c r="C59" s="32"/>
      <x:c r="D59" s="33"/>
      <x:c r="E59" s="33"/>
      <x:c r="F59" s="33"/>
      <x:c r="G59" s="33"/>
      <x:c r="H59" s="34"/>
      <x:c r="I59" s="32"/>
      <x:c r="J59" s="32"/>
      <x:c r="K59" s="2" t="str">
        <x:f>IF(A59="","",IF(COUNT(D59:G59)=4,"Complete","Enter amounts"))</x:f>
      </x:c>
    </x:row>
    <x:row r="60" ht="23" customHeight="1">
      <x:c r="A60" s="35"/>
      <x:c r="B60" s="32"/>
      <x:c r="C60" s="32"/>
      <x:c r="D60" s="33"/>
      <x:c r="E60" s="33"/>
      <x:c r="F60" s="33"/>
      <x:c r="G60" s="33"/>
      <x:c r="H60" s="34"/>
      <x:c r="I60" s="32"/>
      <x:c r="J60" s="32"/>
      <x:c r="K60" s="2" t="str">
        <x:f>IF(A60="","",IF(COUNT(D60:G60)=4,"Complete","Enter amounts"))</x:f>
      </x:c>
    </x:row>
    <x:row r="61" ht="23" customHeight="1">
      <x:c r="A61" s="35"/>
      <x:c r="B61" s="32"/>
      <x:c r="C61" s="32"/>
      <x:c r="D61" s="33"/>
      <x:c r="E61" s="33"/>
      <x:c r="F61" s="33"/>
      <x:c r="G61" s="33"/>
      <x:c r="H61" s="34"/>
      <x:c r="I61" s="32"/>
      <x:c r="J61" s="32"/>
      <x:c r="K61" s="2" t="str">
        <x:f>IF(A61="","",IF(COUNT(D61:G61)=4,"Complete","Enter amounts"))</x:f>
      </x:c>
    </x:row>
    <x:row r="62" ht="23" customHeight="1">
      <x:c r="A62" s="35"/>
      <x:c r="B62" s="32"/>
      <x:c r="C62" s="32"/>
      <x:c r="D62" s="33"/>
      <x:c r="E62" s="33"/>
      <x:c r="F62" s="33"/>
      <x:c r="G62" s="33"/>
      <x:c r="H62" s="34"/>
      <x:c r="I62" s="32"/>
      <x:c r="J62" s="32"/>
      <x:c r="K62" s="2" t="str">
        <x:f>IF(A62="","",IF(COUNT(D62:G62)=4,"Complete","Enter amounts"))</x:f>
      </x:c>
    </x:row>
    <x:row r="63" ht="23" customHeight="1">
      <x:c r="A63" s="35"/>
      <x:c r="B63" s="32"/>
      <x:c r="C63" s="32"/>
      <x:c r="D63" s="33"/>
      <x:c r="E63" s="33"/>
      <x:c r="F63" s="33"/>
      <x:c r="G63" s="33"/>
      <x:c r="H63" s="34"/>
      <x:c r="I63" s="32"/>
      <x:c r="J63" s="32"/>
      <x:c r="K63" s="2" t="str">
        <x:f>IF(A63="","",IF(COUNT(D63:G63)=4,"Complete","Enter amounts"))</x:f>
      </x:c>
    </x:row>
    <x:row r="64" ht="23" customHeight="1">
      <x:c r="A64" s="35"/>
      <x:c r="B64" s="32"/>
      <x:c r="C64" s="32"/>
      <x:c r="D64" s="33"/>
      <x:c r="E64" s="33"/>
      <x:c r="F64" s="33"/>
      <x:c r="G64" s="33"/>
      <x:c r="H64" s="34"/>
      <x:c r="I64" s="32"/>
      <x:c r="J64" s="32"/>
      <x:c r="K64" s="2" t="str">
        <x:f>IF(A64="","",IF(COUNT(D64:G64)=4,"Complete","Enter amounts"))</x:f>
      </x:c>
    </x:row>
    <x:row r="65" ht="23" customHeight="1">
      <x:c r="A65" s="35"/>
      <x:c r="B65" s="32"/>
      <x:c r="C65" s="32"/>
      <x:c r="D65" s="33"/>
      <x:c r="E65" s="33"/>
      <x:c r="F65" s="33"/>
      <x:c r="G65" s="33"/>
      <x:c r="H65" s="34"/>
      <x:c r="I65" s="32"/>
      <x:c r="J65" s="32"/>
      <x:c r="K65" s="2" t="str">
        <x:f>IF(A65="","",IF(COUNT(D65:G65)=4,"Complete","Enter amounts"))</x:f>
      </x:c>
    </x:row>
    <x:row r="66" ht="23" customHeight="1">
      <x:c r="A66" s="35"/>
      <x:c r="B66" s="32"/>
      <x:c r="C66" s="32"/>
      <x:c r="D66" s="33"/>
      <x:c r="E66" s="33"/>
      <x:c r="F66" s="33"/>
      <x:c r="G66" s="33"/>
      <x:c r="H66" s="34"/>
      <x:c r="I66" s="32"/>
      <x:c r="J66" s="32"/>
      <x:c r="K66" s="2" t="str">
        <x:f>IF(A66="","",IF(COUNT(D66:G66)=4,"Complete","Enter amounts"))</x:f>
      </x:c>
    </x:row>
    <x:row r="67" ht="23" customHeight="1">
      <x:c r="A67" s="35"/>
      <x:c r="B67" s="32"/>
      <x:c r="C67" s="32"/>
      <x:c r="D67" s="33"/>
      <x:c r="E67" s="33"/>
      <x:c r="F67" s="33"/>
      <x:c r="G67" s="33"/>
      <x:c r="H67" s="34"/>
      <x:c r="I67" s="32"/>
      <x:c r="J67" s="32"/>
      <x:c r="K67" s="2" t="str">
        <x:f>IF(A67="","",IF(COUNT(D67:G67)=4,"Complete","Enter amounts"))</x:f>
      </x:c>
    </x:row>
    <x:row r="68" ht="23" customHeight="1">
      <x:c r="A68" s="35"/>
      <x:c r="B68" s="32"/>
      <x:c r="C68" s="32"/>
      <x:c r="D68" s="33"/>
      <x:c r="E68" s="33"/>
      <x:c r="F68" s="33"/>
      <x:c r="G68" s="33"/>
      <x:c r="H68" s="34"/>
      <x:c r="I68" s="32"/>
      <x:c r="J68" s="32"/>
      <x:c r="K68" s="2" t="str">
        <x:f>IF(A68="","",IF(COUNT(D68:G68)=4,"Complete","Enter amounts"))</x:f>
      </x:c>
    </x:row>
    <x:row r="69" ht="23" customHeight="1">
      <x:c r="A69" s="35"/>
      <x:c r="B69" s="32"/>
      <x:c r="C69" s="32"/>
      <x:c r="D69" s="33"/>
      <x:c r="E69" s="33"/>
      <x:c r="F69" s="33"/>
      <x:c r="G69" s="33"/>
      <x:c r="H69" s="34"/>
      <x:c r="I69" s="32"/>
      <x:c r="J69" s="32"/>
      <x:c r="K69" s="2" t="str">
        <x:f>IF(A69="","",IF(COUNT(D69:G69)=4,"Complete","Enter amounts"))</x:f>
      </x:c>
    </x:row>
    <x:row r="70" ht="23" customHeight="1">
      <x:c r="A70" s="35"/>
      <x:c r="B70" s="32"/>
      <x:c r="C70" s="32"/>
      <x:c r="D70" s="33"/>
      <x:c r="E70" s="33"/>
      <x:c r="F70" s="33"/>
      <x:c r="G70" s="33"/>
      <x:c r="H70" s="34"/>
      <x:c r="I70" s="32"/>
      <x:c r="J70" s="32"/>
      <x:c r="K70" s="2" t="str">
        <x:f>IF(A70="","",IF(COUNT(D70:G70)=4,"Complete","Enter amounts"))</x:f>
      </x:c>
    </x:row>
    <x:row r="71" ht="23" customHeight="1">
      <x:c r="A71" s="35"/>
      <x:c r="B71" s="32"/>
      <x:c r="C71" s="32"/>
      <x:c r="D71" s="33"/>
      <x:c r="E71" s="33"/>
      <x:c r="F71" s="33"/>
      <x:c r="G71" s="33"/>
      <x:c r="H71" s="34"/>
      <x:c r="I71" s="32"/>
      <x:c r="J71" s="32"/>
      <x:c r="K71" s="2" t="str">
        <x:f>IF(A71="","",IF(COUNT(D71:G71)=4,"Complete","Enter amounts"))</x:f>
      </x:c>
    </x:row>
    <x:row r="72" ht="23" customHeight="1">
      <x:c r="A72" s="35"/>
      <x:c r="B72" s="32"/>
      <x:c r="C72" s="32"/>
      <x:c r="D72" s="33"/>
      <x:c r="E72" s="33"/>
      <x:c r="F72" s="33"/>
      <x:c r="G72" s="33"/>
      <x:c r="H72" s="34"/>
      <x:c r="I72" s="32"/>
      <x:c r="J72" s="32"/>
      <x:c r="K72" s="2" t="str">
        <x:f>IF(A72="","",IF(COUNT(D72:G72)=4,"Complete","Enter amounts"))</x:f>
      </x:c>
    </x:row>
    <x:row r="73" ht="23" customHeight="1">
      <x:c r="A73" s="35"/>
      <x:c r="B73" s="32"/>
      <x:c r="C73" s="32"/>
      <x:c r="D73" s="33"/>
      <x:c r="E73" s="33"/>
      <x:c r="F73" s="33"/>
      <x:c r="G73" s="33"/>
      <x:c r="H73" s="34"/>
      <x:c r="I73" s="32"/>
      <x:c r="J73" s="32"/>
      <x:c r="K73" s="2" t="str">
        <x:f>IF(A73="","",IF(COUNT(D73:G73)=4,"Complete","Enter amounts"))</x:f>
      </x:c>
    </x:row>
    <x:row r="74" ht="23" customHeight="1">
      <x:c r="A74" s="35"/>
      <x:c r="B74" s="32"/>
      <x:c r="C74" s="32"/>
      <x:c r="D74" s="33"/>
      <x:c r="E74" s="33"/>
      <x:c r="F74" s="33"/>
      <x:c r="G74" s="33"/>
      <x:c r="H74" s="34"/>
      <x:c r="I74" s="32"/>
      <x:c r="J74" s="32"/>
      <x:c r="K74" s="2" t="str">
        <x:f>IF(A74="","",IF(COUNT(D74:G74)=4,"Complete","Enter amounts"))</x:f>
      </x:c>
    </x:row>
    <x:row r="75" ht="23" customHeight="1">
      <x:c r="A75" s="35"/>
      <x:c r="B75" s="32"/>
      <x:c r="C75" s="32"/>
      <x:c r="D75" s="33"/>
      <x:c r="E75" s="33"/>
      <x:c r="F75" s="33"/>
      <x:c r="G75" s="33"/>
      <x:c r="H75" s="34"/>
      <x:c r="I75" s="32"/>
      <x:c r="J75" s="32"/>
      <x:c r="K75" s="2" t="str">
        <x:f>IF(A75="","",IF(COUNT(D75:G75)=4,"Complete","Enter amounts"))</x:f>
      </x:c>
    </x:row>
    <x:row r="76" ht="23" customHeight="1">
      <x:c r="A76" s="35"/>
      <x:c r="B76" s="32"/>
      <x:c r="C76" s="32"/>
      <x:c r="D76" s="33"/>
      <x:c r="E76" s="33"/>
      <x:c r="F76" s="33"/>
      <x:c r="G76" s="33"/>
      <x:c r="H76" s="34"/>
      <x:c r="I76" s="32"/>
      <x:c r="J76" s="32"/>
      <x:c r="K76" s="2" t="str">
        <x:f>IF(A76="","",IF(COUNT(D76:G76)=4,"Complete","Enter amounts"))</x:f>
      </x:c>
    </x:row>
    <x:row r="77" ht="23" customHeight="1">
      <x:c r="A77" s="35"/>
      <x:c r="B77" s="32"/>
      <x:c r="C77" s="32"/>
      <x:c r="D77" s="33"/>
      <x:c r="E77" s="33"/>
      <x:c r="F77" s="33"/>
      <x:c r="G77" s="33"/>
      <x:c r="H77" s="34"/>
      <x:c r="I77" s="32"/>
      <x:c r="J77" s="32"/>
      <x:c r="K77" s="2" t="str">
        <x:f>IF(A77="","",IF(COUNT(D77:G77)=4,"Complete","Enter amounts"))</x:f>
      </x:c>
    </x:row>
    <x:row r="78" ht="23" customHeight="1">
      <x:c r="A78" s="35"/>
      <x:c r="B78" s="32"/>
      <x:c r="C78" s="32"/>
      <x:c r="D78" s="33"/>
      <x:c r="E78" s="33"/>
      <x:c r="F78" s="33"/>
      <x:c r="G78" s="33"/>
      <x:c r="H78" s="34"/>
      <x:c r="I78" s="32"/>
      <x:c r="J78" s="32"/>
      <x:c r="K78" s="2" t="str">
        <x:f>IF(A78="","",IF(COUNT(D78:G78)=4,"Complete","Enter amounts"))</x:f>
      </x:c>
    </x:row>
    <x:row r="79" ht="23" customHeight="1">
      <x:c r="A79" s="35"/>
      <x:c r="B79" s="32"/>
      <x:c r="C79" s="32"/>
      <x:c r="D79" s="33"/>
      <x:c r="E79" s="33"/>
      <x:c r="F79" s="33"/>
      <x:c r="G79" s="33"/>
      <x:c r="H79" s="34"/>
      <x:c r="I79" s="32"/>
      <x:c r="J79" s="32"/>
      <x:c r="K79" s="2" t="str">
        <x:f>IF(A79="","",IF(COUNT(D79:G79)=4,"Complete","Enter amounts"))</x:f>
      </x:c>
    </x:row>
    <x:row r="80" ht="23" customHeight="1">
      <x:c r="A80" s="35"/>
      <x:c r="B80" s="32"/>
      <x:c r="C80" s="32"/>
      <x:c r="D80" s="33"/>
      <x:c r="E80" s="33"/>
      <x:c r="F80" s="33"/>
      <x:c r="G80" s="33"/>
      <x:c r="H80" s="34"/>
      <x:c r="I80" s="32"/>
      <x:c r="J80" s="32"/>
      <x:c r="K80" s="2" t="str">
        <x:f>IF(A80="","",IF(COUNT(D80:G80)=4,"Complete","Enter amounts"))</x:f>
      </x:c>
    </x:row>
    <x:row r="81" ht="23" customHeight="1">
      <x:c r="A81" s="35"/>
      <x:c r="B81" s="32"/>
      <x:c r="C81" s="32"/>
      <x:c r="D81" s="33"/>
      <x:c r="E81" s="33"/>
      <x:c r="F81" s="33"/>
      <x:c r="G81" s="33"/>
      <x:c r="H81" s="34"/>
      <x:c r="I81" s="32"/>
      <x:c r="J81" s="32"/>
      <x:c r="K81" s="2" t="str">
        <x:f>IF(A81="","",IF(COUNT(D81:G81)=4,"Complete","Enter amounts"))</x:f>
      </x:c>
    </x:row>
    <x:row r="82" ht="23" customHeight="1">
      <x:c r="A82" s="35"/>
      <x:c r="B82" s="32"/>
      <x:c r="C82" s="32"/>
      <x:c r="D82" s="33"/>
      <x:c r="E82" s="33"/>
      <x:c r="F82" s="33"/>
      <x:c r="G82" s="33"/>
      <x:c r="H82" s="34"/>
      <x:c r="I82" s="32"/>
      <x:c r="J82" s="32"/>
      <x:c r="K82" s="2" t="str">
        <x:f>IF(A82="","",IF(COUNT(D82:G82)=4,"Complete","Enter amounts"))</x:f>
      </x:c>
    </x:row>
    <x:row r="83" ht="23" customHeight="1">
      <x:c r="A83" s="35"/>
      <x:c r="B83" s="32"/>
      <x:c r="C83" s="32"/>
      <x:c r="D83" s="33"/>
      <x:c r="E83" s="33"/>
      <x:c r="F83" s="33"/>
      <x:c r="G83" s="33"/>
      <x:c r="H83" s="34"/>
      <x:c r="I83" s="32"/>
      <x:c r="J83" s="32"/>
      <x:c r="K83" s="2" t="str">
        <x:f>IF(A83="","",IF(COUNT(D83:G83)=4,"Complete","Enter amounts"))</x:f>
      </x:c>
    </x:row>
    <x:row r="84" ht="23" customHeight="1">
      <x:c r="A84" s="35"/>
      <x:c r="B84" s="32"/>
      <x:c r="C84" s="32"/>
      <x:c r="D84" s="33"/>
      <x:c r="E84" s="33"/>
      <x:c r="F84" s="33"/>
      <x:c r="G84" s="33"/>
      <x:c r="H84" s="34"/>
      <x:c r="I84" s="32"/>
      <x:c r="J84" s="32"/>
      <x:c r="K84" s="2" t="str">
        <x:f>IF(A84="","",IF(COUNT(D84:G84)=4,"Complete","Enter amounts"))</x:f>
      </x:c>
    </x:row>
    <x:row r="85" ht="23" customHeight="1">
      <x:c r="A85" s="35"/>
      <x:c r="B85" s="32"/>
      <x:c r="C85" s="32"/>
      <x:c r="D85" s="33"/>
      <x:c r="E85" s="33"/>
      <x:c r="F85" s="33"/>
      <x:c r="G85" s="33"/>
      <x:c r="H85" s="34"/>
      <x:c r="I85" s="32"/>
      <x:c r="J85" s="32"/>
      <x:c r="K85" s="2" t="str">
        <x:f>IF(A85="","",IF(COUNT(D85:G85)=4,"Complete","Enter amounts"))</x:f>
      </x:c>
    </x:row>
    <x:row r="86" ht="23" customHeight="1">
      <x:c r="A86" s="35"/>
      <x:c r="B86" s="32"/>
      <x:c r="C86" s="32"/>
      <x:c r="D86" s="33"/>
      <x:c r="E86" s="33"/>
      <x:c r="F86" s="33"/>
      <x:c r="G86" s="33"/>
      <x:c r="H86" s="34"/>
      <x:c r="I86" s="32"/>
      <x:c r="J86" s="32"/>
      <x:c r="K86" s="2" t="str">
        <x:f>IF(A86="","",IF(COUNT(D86:G86)=4,"Complete","Enter amounts"))</x:f>
      </x:c>
    </x:row>
    <x:row r="87" ht="23" customHeight="1">
      <x:c r="A87" s="35"/>
      <x:c r="B87" s="32"/>
      <x:c r="C87" s="32"/>
      <x:c r="D87" s="33"/>
      <x:c r="E87" s="33"/>
      <x:c r="F87" s="33"/>
      <x:c r="G87" s="33"/>
      <x:c r="H87" s="34"/>
      <x:c r="I87" s="32"/>
      <x:c r="J87" s="32"/>
      <x:c r="K87" s="2" t="str">
        <x:f>IF(A87="","",IF(COUNT(D87:G87)=4,"Complete","Enter amounts"))</x:f>
      </x:c>
    </x:row>
    <x:row r="88" ht="23" customHeight="1">
      <x:c r="A88" s="35"/>
      <x:c r="B88" s="32"/>
      <x:c r="C88" s="32"/>
      <x:c r="D88" s="33"/>
      <x:c r="E88" s="33"/>
      <x:c r="F88" s="33"/>
      <x:c r="G88" s="33"/>
      <x:c r="H88" s="34"/>
      <x:c r="I88" s="32"/>
      <x:c r="J88" s="32"/>
      <x:c r="K88" s="2" t="str">
        <x:f>IF(A88="","",IF(COUNT(D88:G88)=4,"Complete","Enter amounts"))</x:f>
      </x:c>
    </x:row>
    <x:row r="89" ht="23" customHeight="1">
      <x:c r="A89" s="35"/>
      <x:c r="B89" s="32"/>
      <x:c r="C89" s="32"/>
      <x:c r="D89" s="33"/>
      <x:c r="E89" s="33"/>
      <x:c r="F89" s="33"/>
      <x:c r="G89" s="33"/>
      <x:c r="H89" s="34"/>
      <x:c r="I89" s="32"/>
      <x:c r="J89" s="32"/>
      <x:c r="K89" s="2" t="str">
        <x:f>IF(A89="","",IF(COUNT(D89:G89)=4,"Complete","Enter amounts"))</x:f>
      </x:c>
    </x:row>
    <x:row r="90" ht="23" customHeight="1">
      <x:c r="A90" s="35"/>
      <x:c r="B90" s="32"/>
      <x:c r="C90" s="32"/>
      <x:c r="D90" s="33"/>
      <x:c r="E90" s="33"/>
      <x:c r="F90" s="33"/>
      <x:c r="G90" s="33"/>
      <x:c r="H90" s="34"/>
      <x:c r="I90" s="32"/>
      <x:c r="J90" s="32"/>
      <x:c r="K90" s="2" t="str">
        <x:f>IF(A90="","",IF(COUNT(D90:G90)=4,"Complete","Enter amounts"))</x:f>
      </x:c>
    </x:row>
    <x:row r="91" ht="23" customHeight="1">
      <x:c r="A91" s="35"/>
      <x:c r="B91" s="32"/>
      <x:c r="C91" s="32"/>
      <x:c r="D91" s="33"/>
      <x:c r="E91" s="33"/>
      <x:c r="F91" s="33"/>
      <x:c r="G91" s="33"/>
      <x:c r="H91" s="34"/>
      <x:c r="I91" s="32"/>
      <x:c r="J91" s="32"/>
      <x:c r="K91" s="2" t="str">
        <x:f>IF(A91="","",IF(COUNT(D91:G91)=4,"Complete","Enter amounts"))</x:f>
      </x:c>
    </x:row>
    <x:row r="92" ht="23" customHeight="1">
      <x:c r="A92" s="35"/>
      <x:c r="B92" s="32"/>
      <x:c r="C92" s="32"/>
      <x:c r="D92" s="33"/>
      <x:c r="E92" s="33"/>
      <x:c r="F92" s="33"/>
      <x:c r="G92" s="33"/>
      <x:c r="H92" s="34"/>
      <x:c r="I92" s="32"/>
      <x:c r="J92" s="32"/>
      <x:c r="K92" s="2" t="str">
        <x:f>IF(A92="","",IF(COUNT(D92:G92)=4,"Complete","Enter amounts"))</x:f>
      </x:c>
    </x:row>
    <x:row r="93" ht="23" customHeight="1">
      <x:c r="A93" s="35"/>
      <x:c r="B93" s="32"/>
      <x:c r="C93" s="32"/>
      <x:c r="D93" s="33"/>
      <x:c r="E93" s="33"/>
      <x:c r="F93" s="33"/>
      <x:c r="G93" s="33"/>
      <x:c r="H93" s="34"/>
      <x:c r="I93" s="32"/>
      <x:c r="J93" s="32"/>
      <x:c r="K93" s="2" t="str">
        <x:f>IF(A93="","",IF(COUNT(D93:G93)=4,"Complete","Enter amounts"))</x:f>
      </x:c>
    </x:row>
    <x:row r="94" ht="23" customHeight="1">
      <x:c r="A94" s="35"/>
      <x:c r="B94" s="32"/>
      <x:c r="C94" s="32"/>
      <x:c r="D94" s="33"/>
      <x:c r="E94" s="33"/>
      <x:c r="F94" s="33"/>
      <x:c r="G94" s="33"/>
      <x:c r="H94" s="34"/>
      <x:c r="I94" s="32"/>
      <x:c r="J94" s="32"/>
      <x:c r="K94" s="2" t="str">
        <x:f>IF(A94="","",IF(COUNT(D94:G94)=4,"Complete","Enter amounts"))</x:f>
      </x:c>
    </x:row>
    <x:row r="95" ht="23" customHeight="1">
      <x:c r="A95" s="35"/>
      <x:c r="B95" s="32"/>
      <x:c r="C95" s="32"/>
      <x:c r="D95" s="33"/>
      <x:c r="E95" s="33"/>
      <x:c r="F95" s="33"/>
      <x:c r="G95" s="33"/>
      <x:c r="H95" s="34"/>
      <x:c r="I95" s="32"/>
      <x:c r="J95" s="32"/>
      <x:c r="K95" s="2" t="str">
        <x:f>IF(A95="","",IF(COUNT(D95:G95)=4,"Complete","Enter amounts"))</x:f>
      </x:c>
    </x:row>
    <x:row r="96" ht="23" customHeight="1">
      <x:c r="A96" s="35"/>
      <x:c r="B96" s="32"/>
      <x:c r="C96" s="32"/>
      <x:c r="D96" s="33"/>
      <x:c r="E96" s="33"/>
      <x:c r="F96" s="33"/>
      <x:c r="G96" s="33"/>
      <x:c r="H96" s="34"/>
      <x:c r="I96" s="32"/>
      <x:c r="J96" s="32"/>
      <x:c r="K96" s="2" t="str">
        <x:f>IF(A96="","",IF(COUNT(D96:G96)=4,"Complete","Enter amounts"))</x:f>
      </x:c>
    </x:row>
    <x:row r="97" ht="23" customHeight="1">
      <x:c r="A97" s="35"/>
      <x:c r="B97" s="32"/>
      <x:c r="C97" s="32"/>
      <x:c r="D97" s="33"/>
      <x:c r="E97" s="33"/>
      <x:c r="F97" s="33"/>
      <x:c r="G97" s="33"/>
      <x:c r="H97" s="34"/>
      <x:c r="I97" s="32"/>
      <x:c r="J97" s="32"/>
      <x:c r="K97" s="2" t="str">
        <x:f>IF(A97="","",IF(COUNT(D97:G97)=4,"Complete","Enter amounts"))</x:f>
      </x:c>
    </x:row>
    <x:row r="98" ht="23" customHeight="1">
      <x:c r="A98" s="35"/>
      <x:c r="B98" s="32"/>
      <x:c r="C98" s="32"/>
      <x:c r="D98" s="33"/>
      <x:c r="E98" s="33"/>
      <x:c r="F98" s="33"/>
      <x:c r="G98" s="33"/>
      <x:c r="H98" s="34"/>
      <x:c r="I98" s="32"/>
      <x:c r="J98" s="32"/>
      <x:c r="K98" s="2" t="str">
        <x:f>IF(A98="","",IF(COUNT(D98:G98)=4,"Complete","Enter amounts"))</x:f>
      </x:c>
    </x:row>
    <x:row r="99" ht="23" customHeight="1">
      <x:c r="A99" s="35"/>
      <x:c r="B99" s="32"/>
      <x:c r="C99" s="32"/>
      <x:c r="D99" s="33"/>
      <x:c r="E99" s="33"/>
      <x:c r="F99" s="33"/>
      <x:c r="G99" s="33"/>
      <x:c r="H99" s="34"/>
      <x:c r="I99" s="32"/>
      <x:c r="J99" s="32"/>
      <x:c r="K99" s="2" t="str">
        <x:f>IF(A99="","",IF(COUNT(D99:G99)=4,"Complete","Enter amounts"))</x:f>
      </x:c>
    </x:row>
    <x:row r="100" ht="23" customHeight="1">
      <x:c r="A100" s="35"/>
      <x:c r="B100" s="32"/>
      <x:c r="C100" s="32"/>
      <x:c r="D100" s="33"/>
      <x:c r="E100" s="33"/>
      <x:c r="F100" s="33"/>
      <x:c r="G100" s="33"/>
      <x:c r="H100" s="34"/>
      <x:c r="I100" s="32"/>
      <x:c r="J100" s="32"/>
      <x:c r="K100" s="2" t="str">
        <x:f>IF(A100="","",IF(COUNT(D100:G100)=4,"Complete","Enter amounts"))</x:f>
      </x:c>
    </x:row>
    <x:row r="101" ht="23" customHeight="1">
      <x:c r="A101" s="35"/>
      <x:c r="B101" s="32"/>
      <x:c r="C101" s="32"/>
      <x:c r="D101" s="33"/>
      <x:c r="E101" s="33"/>
      <x:c r="F101" s="33"/>
      <x:c r="G101" s="33"/>
      <x:c r="H101" s="34"/>
      <x:c r="I101" s="32"/>
      <x:c r="J101" s="32"/>
      <x:c r="K101" s="2" t="str">
        <x:f>IF(A101="","",IF(COUNT(D101:G101)=4,"Complete","Enter amounts"))</x:f>
      </x:c>
    </x:row>
    <x:row r="102" ht="23" customHeight="1">
      <x:c r="A102" s="35"/>
      <x:c r="B102" s="32"/>
      <x:c r="C102" s="32"/>
      <x:c r="D102" s="33"/>
      <x:c r="E102" s="33"/>
      <x:c r="F102" s="33"/>
      <x:c r="G102" s="33"/>
      <x:c r="H102" s="34"/>
      <x:c r="I102" s="32"/>
      <x:c r="J102" s="32"/>
      <x:c r="K102" s="2" t="str">
        <x:f>IF(A102="","",IF(COUNT(D102:G102)=4,"Complete","Enter amounts"))</x:f>
      </x:c>
    </x:row>
    <x:row r="103" ht="23" customHeight="1">
      <x:c r="A103" s="35"/>
      <x:c r="B103" s="32"/>
      <x:c r="C103" s="32"/>
      <x:c r="D103" s="33"/>
      <x:c r="E103" s="33"/>
      <x:c r="F103" s="33"/>
      <x:c r="G103" s="33"/>
      <x:c r="H103" s="34"/>
      <x:c r="I103" s="32"/>
      <x:c r="J103" s="32"/>
      <x:c r="K103" s="2" t="str">
        <x:f>IF(A103="","",IF(COUNT(D103:G103)=4,"Complete","Enter amounts"))</x:f>
      </x:c>
    </x:row>
    <x:row r="104" ht="23" customHeight="1">
      <x:c r="A104" s="35"/>
      <x:c r="B104" s="32"/>
      <x:c r="C104" s="32"/>
      <x:c r="D104" s="33"/>
      <x:c r="E104" s="33"/>
      <x:c r="F104" s="33"/>
      <x:c r="G104" s="33"/>
      <x:c r="H104" s="34"/>
      <x:c r="I104" s="32"/>
      <x:c r="J104" s="32"/>
      <x:c r="K104" s="2" t="str">
        <x:f>IF(A104="","",IF(COUNT(D104:G104)=4,"Complete","Enter amounts"))</x:f>
      </x:c>
    </x:row>
    <x:row r="105" ht="23" customHeight="1">
      <x:c r="A105" s="35"/>
      <x:c r="B105" s="32"/>
      <x:c r="C105" s="32"/>
      <x:c r="D105" s="33"/>
      <x:c r="E105" s="33"/>
      <x:c r="F105" s="33"/>
      <x:c r="G105" s="33"/>
      <x:c r="H105" s="34"/>
      <x:c r="I105" s="32"/>
      <x:c r="J105" s="32"/>
      <x:c r="K105" s="2" t="str">
        <x:f>IF(A105="","",IF(COUNT(D105:G105)=4,"Complete","Enter amounts"))</x:f>
      </x:c>
    </x:row>
    <x:row r="106" ht="23" customHeight="1">
      <x:c r="A106" s="35"/>
      <x:c r="B106" s="32"/>
      <x:c r="C106" s="32"/>
      <x:c r="D106" s="33"/>
      <x:c r="E106" s="33"/>
      <x:c r="F106" s="33"/>
      <x:c r="G106" s="33"/>
      <x:c r="H106" s="34"/>
      <x:c r="I106" s="32"/>
      <x:c r="J106" s="32"/>
      <x:c r="K106" s="2" t="str">
        <x:f>IF(A106="","",IF(COUNT(D106:G106)=4,"Complete","Enter amounts"))</x:f>
      </x:c>
    </x:row>
    <x:row r="107" ht="23" customHeight="1">
      <x:c r="A107" s="35"/>
      <x:c r="B107" s="32"/>
      <x:c r="C107" s="32"/>
      <x:c r="D107" s="33"/>
      <x:c r="E107" s="33"/>
      <x:c r="F107" s="33"/>
      <x:c r="G107" s="33"/>
      <x:c r="H107" s="34"/>
      <x:c r="I107" s="32"/>
      <x:c r="J107" s="32"/>
      <x:c r="K107" s="2" t="str">
        <x:f>IF(A107="","",IF(COUNT(D107:G107)=4,"Complete","Enter amounts"))</x:f>
      </x:c>
    </x:row>
    <x:row r="108" ht="23" customHeight="1">
      <x:c r="A108" s="35"/>
      <x:c r="B108" s="32"/>
      <x:c r="C108" s="32"/>
      <x:c r="D108" s="33"/>
      <x:c r="E108" s="33"/>
      <x:c r="F108" s="33"/>
      <x:c r="G108" s="33"/>
      <x:c r="H108" s="34"/>
      <x:c r="I108" s="32"/>
      <x:c r="J108" s="32"/>
      <x:c r="K108" s="2" t="str">
        <x:f>IF(A108="","",IF(COUNT(D108:G108)=4,"Complete","Enter amounts"))</x:f>
      </x:c>
    </x:row>
    <x:row r="109" ht="23" customHeight="1">
      <x:c r="A109" s="35"/>
      <x:c r="B109" s="32"/>
      <x:c r="C109" s="32"/>
      <x:c r="D109" s="33"/>
      <x:c r="E109" s="33"/>
      <x:c r="F109" s="33"/>
      <x:c r="G109" s="33"/>
      <x:c r="H109" s="34"/>
      <x:c r="I109" s="32"/>
      <x:c r="J109" s="32"/>
      <x:c r="K109" s="2" t="str">
        <x:f>IF(A109="","",IF(COUNT(D109:G109)=4,"Complete","Enter amounts"))</x:f>
      </x:c>
    </x:row>
    <x:row r="110" ht="23" customHeight="1">
      <x:c r="A110" s="35"/>
      <x:c r="B110" s="32"/>
      <x:c r="C110" s="32"/>
      <x:c r="D110" s="33"/>
      <x:c r="E110" s="33"/>
      <x:c r="F110" s="33"/>
      <x:c r="G110" s="33"/>
      <x:c r="H110" s="34"/>
      <x:c r="I110" s="32"/>
      <x:c r="J110" s="32"/>
      <x:c r="K110" s="2" t="str">
        <x:f>IF(A110="","",IF(COUNT(D110:G110)=4,"Complete","Enter amounts"))</x:f>
      </x:c>
    </x:row>
    <x:row r="111" ht="23" customHeight="1">
      <x:c r="A111" s="35"/>
      <x:c r="B111" s="32"/>
      <x:c r="C111" s="32"/>
      <x:c r="D111" s="33"/>
      <x:c r="E111" s="33"/>
      <x:c r="F111" s="33"/>
      <x:c r="G111" s="33"/>
      <x:c r="H111" s="34"/>
      <x:c r="I111" s="32"/>
      <x:c r="J111" s="32"/>
      <x:c r="K111" s="2" t="str">
        <x:f>IF(A111="","",IF(COUNT(D111:G111)=4,"Complete","Enter amounts"))</x:f>
      </x:c>
    </x:row>
    <x:row r="112" ht="23" customHeight="1">
      <x:c r="A112" s="35"/>
      <x:c r="B112" s="32"/>
      <x:c r="C112" s="32"/>
      <x:c r="D112" s="33"/>
      <x:c r="E112" s="33"/>
      <x:c r="F112" s="33"/>
      <x:c r="G112" s="33"/>
      <x:c r="H112" s="34"/>
      <x:c r="I112" s="32"/>
      <x:c r="J112" s="32"/>
      <x:c r="K112" s="2" t="str">
        <x:f>IF(A112="","",IF(COUNT(D112:G112)=4,"Complete","Enter amounts"))</x:f>
      </x:c>
    </x:row>
    <x:row r="113" ht="23" customHeight="1">
      <x:c r="A113" s="35"/>
      <x:c r="B113" s="32"/>
      <x:c r="C113" s="32"/>
      <x:c r="D113" s="33"/>
      <x:c r="E113" s="33"/>
      <x:c r="F113" s="33"/>
      <x:c r="G113" s="33"/>
      <x:c r="H113" s="34"/>
      <x:c r="I113" s="32"/>
      <x:c r="J113" s="32"/>
      <x:c r="K113" s="2" t="str">
        <x:f>IF(A113="","",IF(COUNT(D113:G113)=4,"Complete","Enter amounts"))</x:f>
      </x:c>
    </x:row>
  </x:sheetData>
  <x:conditionalFormatting sqref="I8:I8">
    <x:cfRule type="cellIs" dxfId="0" priority="1" operator="greaterThan">
      <x:formula>0</x:formula>
    </x:cfRule>
  </x:conditionalFormatting>
  <x:dataValidations count="2">
    <x:dataValidation type="list" sqref="B14:B113">
      <x:formula1>"Build,Care,Expense,Refund"</x:formula1>
    </x:dataValidation>
    <x:dataValidation type="decimal" operator="greaterThanOrEqual" sqref="D14:H113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32" hidden="0" customWidth="1"/>
    <x:col min="3" max="3" width="3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6" hidden="0" customWidth="1"/>
    <x:col min="10" max="10" width="36" hidden="0" customWidth="1"/>
  </x:cols>
  <x:sheetData>
    <x:row r="2" ht="23" customHeight="1">
      <x:c r="A2" s="3" t="str">
        <x:v>Customer experiment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 t="str">
        <x:v>Record actual businesses and outcomes. No outreach has been sent.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 t="str">
        <x:v>Qualified</x:v>
      </x:c>
      <x:c r="B4" s="36" t="n">
        <x:f>COUNTIFS(D7:D106,"Yes")</x:f>
        <x:v>0</x:v>
      </x:c>
      <x:c r="C4" s="2"/>
      <x:c r="D4" s="2" t="str">
        <x:v>Contacted</x:v>
      </x:c>
      <x:c r="E4" s="36" t="n">
        <x:f>COUNT(E7:E106)</x:f>
        <x:v>0</x:v>
      </x:c>
      <x:c r="F4" s="2" t="str">
        <x:v>Conversations</x:v>
      </x:c>
      <x:c r="G4" s="36" t="n">
        <x:f>COUNT(F7:F106)</x:f>
        <x:v>0</x:v>
      </x:c>
      <x:c r="H4" s="2" t="str">
        <x:v>Paid pilots</x:v>
      </x:c>
      <x:c r="I4" s="36" t="n">
        <x:f>COUNT(G7:G106)</x:f>
        <x:v>0</x:v>
      </x:c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A6" s="31" t="str">
        <x:v>Business</x:v>
      </x:c>
      <x:c r="B6" s="31" t="str">
        <x:v>Evidence URL</x:v>
      </x:c>
      <x:c r="C6" s="31" t="str">
        <x:v>Observed issue</x:v>
      </x:c>
      <x:c r="D6" s="31" t="str">
        <x:v>Qualified?</x:v>
      </x:c>
      <x:c r="E6" s="31" t="str">
        <x:v>Contact date</x:v>
      </x:c>
      <x:c r="F6" s="31" t="str">
        <x:v>Conversation date</x:v>
      </x:c>
      <x:c r="G6" s="31" t="str">
        <x:v>Paid date</x:v>
      </x:c>
      <x:c r="H6" s="31" t="str">
        <x:v>Care opt-in?</x:v>
      </x:c>
      <x:c r="I6" s="31" t="str">
        <x:v>Next action</x:v>
      </x:c>
      <x:c r="J6" s="31" t="str">
        <x:v>Objection / outcome</x:v>
      </x:c>
    </x:row>
    <x:row r="7" ht="23" customHeight="1">
      <x:c r="A7" s="32"/>
      <x:c r="B7" s="32"/>
      <x:c r="C7" s="32"/>
      <x:c r="D7" s="32"/>
      <x:c r="E7" s="35"/>
      <x:c r="F7" s="35"/>
      <x:c r="G7" s="35"/>
      <x:c r="H7" s="32"/>
      <x:c r="I7" s="32"/>
      <x:c r="J7" s="32"/>
    </x:row>
    <x:row r="8" ht="23" customHeight="1">
      <x:c r="A8" s="32"/>
      <x:c r="B8" s="32"/>
      <x:c r="C8" s="32"/>
      <x:c r="D8" s="32"/>
      <x:c r="E8" s="35"/>
      <x:c r="F8" s="35"/>
      <x:c r="G8" s="35"/>
      <x:c r="H8" s="32"/>
      <x:c r="I8" s="32"/>
      <x:c r="J8" s="32"/>
    </x:row>
    <x:row r="9" ht="23" customHeight="1">
      <x:c r="A9" s="32"/>
      <x:c r="B9" s="32"/>
      <x:c r="C9" s="32"/>
      <x:c r="D9" s="32"/>
      <x:c r="E9" s="35"/>
      <x:c r="F9" s="35"/>
      <x:c r="G9" s="35"/>
      <x:c r="H9" s="32"/>
      <x:c r="I9" s="32"/>
      <x:c r="J9" s="32"/>
    </x:row>
    <x:row r="10" ht="23" customHeight="1">
      <x:c r="A10" s="32"/>
      <x:c r="B10" s="32"/>
      <x:c r="C10" s="32"/>
      <x:c r="D10" s="32"/>
      <x:c r="E10" s="35"/>
      <x:c r="F10" s="35"/>
      <x:c r="G10" s="35"/>
      <x:c r="H10" s="32"/>
      <x:c r="I10" s="32"/>
      <x:c r="J10" s="32"/>
    </x:row>
    <x:row r="11" ht="23" customHeight="1">
      <x:c r="A11" s="32"/>
      <x:c r="B11" s="32"/>
      <x:c r="C11" s="32"/>
      <x:c r="D11" s="32"/>
      <x:c r="E11" s="35"/>
      <x:c r="F11" s="35"/>
      <x:c r="G11" s="35"/>
      <x:c r="H11" s="32"/>
      <x:c r="I11" s="32"/>
      <x:c r="J11" s="32"/>
    </x:row>
    <x:row r="12" ht="23" customHeight="1">
      <x:c r="A12" s="32"/>
      <x:c r="B12" s="32"/>
      <x:c r="C12" s="32"/>
      <x:c r="D12" s="32"/>
      <x:c r="E12" s="35"/>
      <x:c r="F12" s="35"/>
      <x:c r="G12" s="35"/>
      <x:c r="H12" s="32"/>
      <x:c r="I12" s="32"/>
      <x:c r="J12" s="32"/>
    </x:row>
    <x:row r="13" ht="23" customHeight="1">
      <x:c r="A13" s="32"/>
      <x:c r="B13" s="32"/>
      <x:c r="C13" s="32"/>
      <x:c r="D13" s="32"/>
      <x:c r="E13" s="35"/>
      <x:c r="F13" s="35"/>
      <x:c r="G13" s="35"/>
      <x:c r="H13" s="32"/>
      <x:c r="I13" s="32"/>
      <x:c r="J13" s="32"/>
    </x:row>
    <x:row r="14" ht="23" customHeight="1">
      <x:c r="A14" s="32"/>
      <x:c r="B14" s="32"/>
      <x:c r="C14" s="32"/>
      <x:c r="D14" s="32"/>
      <x:c r="E14" s="35"/>
      <x:c r="F14" s="35"/>
      <x:c r="G14" s="35"/>
      <x:c r="H14" s="32"/>
      <x:c r="I14" s="32"/>
      <x:c r="J14" s="32"/>
    </x:row>
    <x:row r="15" ht="23" customHeight="1">
      <x:c r="A15" s="32"/>
      <x:c r="B15" s="32"/>
      <x:c r="C15" s="32"/>
      <x:c r="D15" s="32"/>
      <x:c r="E15" s="35"/>
      <x:c r="F15" s="35"/>
      <x:c r="G15" s="35"/>
      <x:c r="H15" s="32"/>
      <x:c r="I15" s="32"/>
      <x:c r="J15" s="32"/>
    </x:row>
    <x:row r="16" ht="23" customHeight="1">
      <x:c r="A16" s="32"/>
      <x:c r="B16" s="32"/>
      <x:c r="C16" s="32"/>
      <x:c r="D16" s="32"/>
      <x:c r="E16" s="35"/>
      <x:c r="F16" s="35"/>
      <x:c r="G16" s="35"/>
      <x:c r="H16" s="32"/>
      <x:c r="I16" s="32"/>
      <x:c r="J16" s="32"/>
    </x:row>
    <x:row r="17" ht="23" customHeight="1">
      <x:c r="A17" s="32"/>
      <x:c r="B17" s="32"/>
      <x:c r="C17" s="32"/>
      <x:c r="D17" s="32"/>
      <x:c r="E17" s="35"/>
      <x:c r="F17" s="35"/>
      <x:c r="G17" s="35"/>
      <x:c r="H17" s="32"/>
      <x:c r="I17" s="32"/>
      <x:c r="J17" s="32"/>
    </x:row>
    <x:row r="18" ht="23" customHeight="1">
      <x:c r="A18" s="32"/>
      <x:c r="B18" s="32"/>
      <x:c r="C18" s="32"/>
      <x:c r="D18" s="32"/>
      <x:c r="E18" s="35"/>
      <x:c r="F18" s="35"/>
      <x:c r="G18" s="35"/>
      <x:c r="H18" s="32"/>
      <x:c r="I18" s="32"/>
      <x:c r="J18" s="32"/>
    </x:row>
    <x:row r="19" ht="23" customHeight="1">
      <x:c r="A19" s="32"/>
      <x:c r="B19" s="32"/>
      <x:c r="C19" s="32"/>
      <x:c r="D19" s="32"/>
      <x:c r="E19" s="35"/>
      <x:c r="F19" s="35"/>
      <x:c r="G19" s="35"/>
      <x:c r="H19" s="32"/>
      <x:c r="I19" s="32"/>
      <x:c r="J19" s="32"/>
    </x:row>
    <x:row r="20" ht="23" customHeight="1">
      <x:c r="A20" s="32"/>
      <x:c r="B20" s="32"/>
      <x:c r="C20" s="32"/>
      <x:c r="D20" s="32"/>
      <x:c r="E20" s="35"/>
      <x:c r="F20" s="35"/>
      <x:c r="G20" s="35"/>
      <x:c r="H20" s="32"/>
      <x:c r="I20" s="32"/>
      <x:c r="J20" s="32"/>
    </x:row>
    <x:row r="21" ht="23" customHeight="1">
      <x:c r="A21" s="32"/>
      <x:c r="B21" s="32"/>
      <x:c r="C21" s="32"/>
      <x:c r="D21" s="32"/>
      <x:c r="E21" s="35"/>
      <x:c r="F21" s="35"/>
      <x:c r="G21" s="35"/>
      <x:c r="H21" s="32"/>
      <x:c r="I21" s="32"/>
      <x:c r="J21" s="32"/>
    </x:row>
    <x:row r="22" ht="23" customHeight="1">
      <x:c r="A22" s="32"/>
      <x:c r="B22" s="32"/>
      <x:c r="C22" s="32"/>
      <x:c r="D22" s="32"/>
      <x:c r="E22" s="35"/>
      <x:c r="F22" s="35"/>
      <x:c r="G22" s="35"/>
      <x:c r="H22" s="32"/>
      <x:c r="I22" s="32"/>
      <x:c r="J22" s="32"/>
    </x:row>
    <x:row r="23" ht="23" customHeight="1">
      <x:c r="A23" s="32"/>
      <x:c r="B23" s="32"/>
      <x:c r="C23" s="32"/>
      <x:c r="D23" s="32"/>
      <x:c r="E23" s="35"/>
      <x:c r="F23" s="35"/>
      <x:c r="G23" s="35"/>
      <x:c r="H23" s="32"/>
      <x:c r="I23" s="32"/>
      <x:c r="J23" s="32"/>
    </x:row>
    <x:row r="24" ht="23" customHeight="1">
      <x:c r="A24" s="32"/>
      <x:c r="B24" s="32"/>
      <x:c r="C24" s="32"/>
      <x:c r="D24" s="32"/>
      <x:c r="E24" s="35"/>
      <x:c r="F24" s="35"/>
      <x:c r="G24" s="35"/>
      <x:c r="H24" s="32"/>
      <x:c r="I24" s="32"/>
      <x:c r="J24" s="32"/>
    </x:row>
    <x:row r="25" ht="23" customHeight="1">
      <x:c r="A25" s="32"/>
      <x:c r="B25" s="32"/>
      <x:c r="C25" s="32"/>
      <x:c r="D25" s="32"/>
      <x:c r="E25" s="35"/>
      <x:c r="F25" s="35"/>
      <x:c r="G25" s="35"/>
      <x:c r="H25" s="32"/>
      <x:c r="I25" s="32"/>
      <x:c r="J25" s="32"/>
    </x:row>
    <x:row r="26" ht="23" customHeight="1">
      <x:c r="A26" s="32"/>
      <x:c r="B26" s="32"/>
      <x:c r="C26" s="32"/>
      <x:c r="D26" s="32"/>
      <x:c r="E26" s="35"/>
      <x:c r="F26" s="35"/>
      <x:c r="G26" s="35"/>
      <x:c r="H26" s="32"/>
      <x:c r="I26" s="32"/>
      <x:c r="J26" s="32"/>
    </x:row>
    <x:row r="27" ht="23" customHeight="1">
      <x:c r="A27" s="32"/>
      <x:c r="B27" s="32"/>
      <x:c r="C27" s="32"/>
      <x:c r="D27" s="32"/>
      <x:c r="E27" s="35"/>
      <x:c r="F27" s="35"/>
      <x:c r="G27" s="35"/>
      <x:c r="H27" s="32"/>
      <x:c r="I27" s="32"/>
      <x:c r="J27" s="32"/>
    </x:row>
    <x:row r="28" ht="23" customHeight="1">
      <x:c r="A28" s="32"/>
      <x:c r="B28" s="32"/>
      <x:c r="C28" s="32"/>
      <x:c r="D28" s="32"/>
      <x:c r="E28" s="35"/>
      <x:c r="F28" s="35"/>
      <x:c r="G28" s="35"/>
      <x:c r="H28" s="32"/>
      <x:c r="I28" s="32"/>
      <x:c r="J28" s="32"/>
    </x:row>
    <x:row r="29" ht="23" customHeight="1">
      <x:c r="A29" s="32"/>
      <x:c r="B29" s="32"/>
      <x:c r="C29" s="32"/>
      <x:c r="D29" s="32"/>
      <x:c r="E29" s="35"/>
      <x:c r="F29" s="35"/>
      <x:c r="G29" s="35"/>
      <x:c r="H29" s="32"/>
      <x:c r="I29" s="32"/>
      <x:c r="J29" s="32"/>
    </x:row>
    <x:row r="30" ht="23" customHeight="1">
      <x:c r="A30" s="32"/>
      <x:c r="B30" s="32"/>
      <x:c r="C30" s="32"/>
      <x:c r="D30" s="32"/>
      <x:c r="E30" s="35"/>
      <x:c r="F30" s="35"/>
      <x:c r="G30" s="35"/>
      <x:c r="H30" s="32"/>
      <x:c r="I30" s="32"/>
      <x:c r="J30" s="32"/>
    </x:row>
    <x:row r="31" ht="23" customHeight="1">
      <x:c r="A31" s="32"/>
      <x:c r="B31" s="32"/>
      <x:c r="C31" s="32"/>
      <x:c r="D31" s="32"/>
      <x:c r="E31" s="35"/>
      <x:c r="F31" s="35"/>
      <x:c r="G31" s="35"/>
      <x:c r="H31" s="32"/>
      <x:c r="I31" s="32"/>
      <x:c r="J31" s="32"/>
    </x:row>
    <x:row r="32" ht="23" customHeight="1">
      <x:c r="A32" s="32"/>
      <x:c r="B32" s="32"/>
      <x:c r="C32" s="32"/>
      <x:c r="D32" s="32"/>
      <x:c r="E32" s="35"/>
      <x:c r="F32" s="35"/>
      <x:c r="G32" s="35"/>
      <x:c r="H32" s="32"/>
      <x:c r="I32" s="32"/>
      <x:c r="J32" s="32"/>
    </x:row>
    <x:row r="33" ht="23" customHeight="1">
      <x:c r="A33" s="32"/>
      <x:c r="B33" s="32"/>
      <x:c r="C33" s="32"/>
      <x:c r="D33" s="32"/>
      <x:c r="E33" s="35"/>
      <x:c r="F33" s="35"/>
      <x:c r="G33" s="35"/>
      <x:c r="H33" s="32"/>
      <x:c r="I33" s="32"/>
      <x:c r="J33" s="32"/>
    </x:row>
    <x:row r="34" ht="23" customHeight="1">
      <x:c r="A34" s="32"/>
      <x:c r="B34" s="32"/>
      <x:c r="C34" s="32"/>
      <x:c r="D34" s="32"/>
      <x:c r="E34" s="35"/>
      <x:c r="F34" s="35"/>
      <x:c r="G34" s="35"/>
      <x:c r="H34" s="32"/>
      <x:c r="I34" s="32"/>
      <x:c r="J34" s="32"/>
    </x:row>
    <x:row r="35" ht="23" customHeight="1">
      <x:c r="A35" s="32"/>
      <x:c r="B35" s="32"/>
      <x:c r="C35" s="32"/>
      <x:c r="D35" s="32"/>
      <x:c r="E35" s="35"/>
      <x:c r="F35" s="35"/>
      <x:c r="G35" s="35"/>
      <x:c r="H35" s="32"/>
      <x:c r="I35" s="32"/>
      <x:c r="J35" s="32"/>
    </x:row>
    <x:row r="36" ht="23" customHeight="1">
      <x:c r="A36" s="32"/>
      <x:c r="B36" s="32"/>
      <x:c r="C36" s="32"/>
      <x:c r="D36" s="32"/>
      <x:c r="E36" s="35"/>
      <x:c r="F36" s="35"/>
      <x:c r="G36" s="35"/>
      <x:c r="H36" s="32"/>
      <x:c r="I36" s="32"/>
      <x:c r="J36" s="32"/>
    </x:row>
    <x:row r="37" ht="23" customHeight="1">
      <x:c r="A37" s="32"/>
      <x:c r="B37" s="32"/>
      <x:c r="C37" s="32"/>
      <x:c r="D37" s="32"/>
      <x:c r="E37" s="35"/>
      <x:c r="F37" s="35"/>
      <x:c r="G37" s="35"/>
      <x:c r="H37" s="32"/>
      <x:c r="I37" s="32"/>
      <x:c r="J37" s="32"/>
    </x:row>
    <x:row r="38" ht="23" customHeight="1">
      <x:c r="A38" s="32"/>
      <x:c r="B38" s="32"/>
      <x:c r="C38" s="32"/>
      <x:c r="D38" s="32"/>
      <x:c r="E38" s="35"/>
      <x:c r="F38" s="35"/>
      <x:c r="G38" s="35"/>
      <x:c r="H38" s="32"/>
      <x:c r="I38" s="32"/>
      <x:c r="J38" s="32"/>
    </x:row>
    <x:row r="39" ht="23" customHeight="1">
      <x:c r="A39" s="32"/>
      <x:c r="B39" s="32"/>
      <x:c r="C39" s="32"/>
      <x:c r="D39" s="32"/>
      <x:c r="E39" s="35"/>
      <x:c r="F39" s="35"/>
      <x:c r="G39" s="35"/>
      <x:c r="H39" s="32"/>
      <x:c r="I39" s="32"/>
      <x:c r="J39" s="32"/>
    </x:row>
    <x:row r="40" ht="23" customHeight="1">
      <x:c r="A40" s="32"/>
      <x:c r="B40" s="32"/>
      <x:c r="C40" s="32"/>
      <x:c r="D40" s="32"/>
      <x:c r="E40" s="35"/>
      <x:c r="F40" s="35"/>
      <x:c r="G40" s="35"/>
      <x:c r="H40" s="32"/>
      <x:c r="I40" s="32"/>
      <x:c r="J40" s="32"/>
    </x:row>
    <x:row r="41" ht="23" customHeight="1">
      <x:c r="A41" s="32"/>
      <x:c r="B41" s="32"/>
      <x:c r="C41" s="32"/>
      <x:c r="D41" s="32"/>
      <x:c r="E41" s="35"/>
      <x:c r="F41" s="35"/>
      <x:c r="G41" s="35"/>
      <x:c r="H41" s="32"/>
      <x:c r="I41" s="32"/>
      <x:c r="J41" s="32"/>
    </x:row>
    <x:row r="42" ht="23" customHeight="1">
      <x:c r="A42" s="32"/>
      <x:c r="B42" s="32"/>
      <x:c r="C42" s="32"/>
      <x:c r="D42" s="32"/>
      <x:c r="E42" s="35"/>
      <x:c r="F42" s="35"/>
      <x:c r="G42" s="35"/>
      <x:c r="H42" s="32"/>
      <x:c r="I42" s="32"/>
      <x:c r="J42" s="32"/>
    </x:row>
    <x:row r="43" ht="23" customHeight="1">
      <x:c r="A43" s="32"/>
      <x:c r="B43" s="32"/>
      <x:c r="C43" s="32"/>
      <x:c r="D43" s="32"/>
      <x:c r="E43" s="35"/>
      <x:c r="F43" s="35"/>
      <x:c r="G43" s="35"/>
      <x:c r="H43" s="32"/>
      <x:c r="I43" s="32"/>
      <x:c r="J43" s="32"/>
    </x:row>
    <x:row r="44" ht="23" customHeight="1">
      <x:c r="A44" s="32"/>
      <x:c r="B44" s="32"/>
      <x:c r="C44" s="32"/>
      <x:c r="D44" s="32"/>
      <x:c r="E44" s="35"/>
      <x:c r="F44" s="35"/>
      <x:c r="G44" s="35"/>
      <x:c r="H44" s="32"/>
      <x:c r="I44" s="32"/>
      <x:c r="J44" s="32"/>
    </x:row>
    <x:row r="45" ht="23" customHeight="1">
      <x:c r="A45" s="32"/>
      <x:c r="B45" s="32"/>
      <x:c r="C45" s="32"/>
      <x:c r="D45" s="32"/>
      <x:c r="E45" s="35"/>
      <x:c r="F45" s="35"/>
      <x:c r="G45" s="35"/>
      <x:c r="H45" s="32"/>
      <x:c r="I45" s="32"/>
      <x:c r="J45" s="32"/>
    </x:row>
    <x:row r="46" ht="23" customHeight="1">
      <x:c r="A46" s="32"/>
      <x:c r="B46" s="32"/>
      <x:c r="C46" s="32"/>
      <x:c r="D46" s="32"/>
      <x:c r="E46" s="35"/>
      <x:c r="F46" s="35"/>
      <x:c r="G46" s="35"/>
      <x:c r="H46" s="32"/>
      <x:c r="I46" s="32"/>
      <x:c r="J46" s="32"/>
    </x:row>
    <x:row r="47" ht="23" customHeight="1">
      <x:c r="A47" s="32"/>
      <x:c r="B47" s="32"/>
      <x:c r="C47" s="32"/>
      <x:c r="D47" s="32"/>
      <x:c r="E47" s="35"/>
      <x:c r="F47" s="35"/>
      <x:c r="G47" s="35"/>
      <x:c r="H47" s="32"/>
      <x:c r="I47" s="32"/>
      <x:c r="J47" s="32"/>
    </x:row>
    <x:row r="48" ht="23" customHeight="1">
      <x:c r="A48" s="32"/>
      <x:c r="B48" s="32"/>
      <x:c r="C48" s="32"/>
      <x:c r="D48" s="32"/>
      <x:c r="E48" s="35"/>
      <x:c r="F48" s="35"/>
      <x:c r="G48" s="35"/>
      <x:c r="H48" s="32"/>
      <x:c r="I48" s="32"/>
      <x:c r="J48" s="32"/>
    </x:row>
    <x:row r="49" ht="23" customHeight="1">
      <x:c r="A49" s="32"/>
      <x:c r="B49" s="32"/>
      <x:c r="C49" s="32"/>
      <x:c r="D49" s="32"/>
      <x:c r="E49" s="35"/>
      <x:c r="F49" s="35"/>
      <x:c r="G49" s="35"/>
      <x:c r="H49" s="32"/>
      <x:c r="I49" s="32"/>
      <x:c r="J49" s="32"/>
    </x:row>
    <x:row r="50" ht="23" customHeight="1">
      <x:c r="A50" s="32"/>
      <x:c r="B50" s="32"/>
      <x:c r="C50" s="32"/>
      <x:c r="D50" s="32"/>
      <x:c r="E50" s="35"/>
      <x:c r="F50" s="35"/>
      <x:c r="G50" s="35"/>
      <x:c r="H50" s="32"/>
      <x:c r="I50" s="32"/>
      <x:c r="J50" s="32"/>
    </x:row>
    <x:row r="51" ht="23" customHeight="1">
      <x:c r="A51" s="32"/>
      <x:c r="B51" s="32"/>
      <x:c r="C51" s="32"/>
      <x:c r="D51" s="32"/>
      <x:c r="E51" s="35"/>
      <x:c r="F51" s="35"/>
      <x:c r="G51" s="35"/>
      <x:c r="H51" s="32"/>
      <x:c r="I51" s="32"/>
      <x:c r="J51" s="32"/>
    </x:row>
    <x:row r="52" ht="23" customHeight="1">
      <x:c r="A52" s="32"/>
      <x:c r="B52" s="32"/>
      <x:c r="C52" s="32"/>
      <x:c r="D52" s="32"/>
      <x:c r="E52" s="35"/>
      <x:c r="F52" s="35"/>
      <x:c r="G52" s="35"/>
      <x:c r="H52" s="32"/>
      <x:c r="I52" s="32"/>
      <x:c r="J52" s="32"/>
    </x:row>
    <x:row r="53" ht="23" customHeight="1">
      <x:c r="A53" s="32"/>
      <x:c r="B53" s="32"/>
      <x:c r="C53" s="32"/>
      <x:c r="D53" s="32"/>
      <x:c r="E53" s="35"/>
      <x:c r="F53" s="35"/>
      <x:c r="G53" s="35"/>
      <x:c r="H53" s="32"/>
      <x:c r="I53" s="32"/>
      <x:c r="J53" s="32"/>
    </x:row>
    <x:row r="54" ht="23" customHeight="1">
      <x:c r="A54" s="32"/>
      <x:c r="B54" s="32"/>
      <x:c r="C54" s="32"/>
      <x:c r="D54" s="32"/>
      <x:c r="E54" s="35"/>
      <x:c r="F54" s="35"/>
      <x:c r="G54" s="35"/>
      <x:c r="H54" s="32"/>
      <x:c r="I54" s="32"/>
      <x:c r="J54" s="32"/>
    </x:row>
    <x:row r="55" ht="23" customHeight="1">
      <x:c r="A55" s="32"/>
      <x:c r="B55" s="32"/>
      <x:c r="C55" s="32"/>
      <x:c r="D55" s="32"/>
      <x:c r="E55" s="35"/>
      <x:c r="F55" s="35"/>
      <x:c r="G55" s="35"/>
      <x:c r="H55" s="32"/>
      <x:c r="I55" s="32"/>
      <x:c r="J55" s="32"/>
    </x:row>
    <x:row r="56" ht="23" customHeight="1">
      <x:c r="A56" s="32"/>
      <x:c r="B56" s="32"/>
      <x:c r="C56" s="32"/>
      <x:c r="D56" s="32"/>
      <x:c r="E56" s="35"/>
      <x:c r="F56" s="35"/>
      <x:c r="G56" s="35"/>
      <x:c r="H56" s="32"/>
      <x:c r="I56" s="32"/>
      <x:c r="J56" s="32"/>
    </x:row>
    <x:row r="57" ht="23" customHeight="1">
      <x:c r="A57" s="32"/>
      <x:c r="B57" s="32"/>
      <x:c r="C57" s="32"/>
      <x:c r="D57" s="32"/>
      <x:c r="E57" s="35"/>
      <x:c r="F57" s="35"/>
      <x:c r="G57" s="35"/>
      <x:c r="H57" s="32"/>
      <x:c r="I57" s="32"/>
      <x:c r="J57" s="32"/>
    </x:row>
    <x:row r="58" ht="23" customHeight="1">
      <x:c r="A58" s="32"/>
      <x:c r="B58" s="32"/>
      <x:c r="C58" s="32"/>
      <x:c r="D58" s="32"/>
      <x:c r="E58" s="35"/>
      <x:c r="F58" s="35"/>
      <x:c r="G58" s="35"/>
      <x:c r="H58" s="32"/>
      <x:c r="I58" s="32"/>
      <x:c r="J58" s="32"/>
    </x:row>
    <x:row r="59" ht="23" customHeight="1">
      <x:c r="A59" s="32"/>
      <x:c r="B59" s="32"/>
      <x:c r="C59" s="32"/>
      <x:c r="D59" s="32"/>
      <x:c r="E59" s="35"/>
      <x:c r="F59" s="35"/>
      <x:c r="G59" s="35"/>
      <x:c r="H59" s="32"/>
      <x:c r="I59" s="32"/>
      <x:c r="J59" s="32"/>
    </x:row>
    <x:row r="60" ht="23" customHeight="1">
      <x:c r="A60" s="32"/>
      <x:c r="B60" s="32"/>
      <x:c r="C60" s="32"/>
      <x:c r="D60" s="32"/>
      <x:c r="E60" s="35"/>
      <x:c r="F60" s="35"/>
      <x:c r="G60" s="35"/>
      <x:c r="H60" s="32"/>
      <x:c r="I60" s="32"/>
      <x:c r="J60" s="32"/>
    </x:row>
    <x:row r="61" ht="23" customHeight="1">
      <x:c r="A61" s="32"/>
      <x:c r="B61" s="32"/>
      <x:c r="C61" s="32"/>
      <x:c r="D61" s="32"/>
      <x:c r="E61" s="35"/>
      <x:c r="F61" s="35"/>
      <x:c r="G61" s="35"/>
      <x:c r="H61" s="32"/>
      <x:c r="I61" s="32"/>
      <x:c r="J61" s="32"/>
    </x:row>
    <x:row r="62" ht="23" customHeight="1">
      <x:c r="A62" s="32"/>
      <x:c r="B62" s="32"/>
      <x:c r="C62" s="32"/>
      <x:c r="D62" s="32"/>
      <x:c r="E62" s="35"/>
      <x:c r="F62" s="35"/>
      <x:c r="G62" s="35"/>
      <x:c r="H62" s="32"/>
      <x:c r="I62" s="32"/>
      <x:c r="J62" s="32"/>
    </x:row>
    <x:row r="63" ht="23" customHeight="1">
      <x:c r="A63" s="32"/>
      <x:c r="B63" s="32"/>
      <x:c r="C63" s="32"/>
      <x:c r="D63" s="32"/>
      <x:c r="E63" s="35"/>
      <x:c r="F63" s="35"/>
      <x:c r="G63" s="35"/>
      <x:c r="H63" s="32"/>
      <x:c r="I63" s="32"/>
      <x:c r="J63" s="32"/>
    </x:row>
    <x:row r="64" ht="23" customHeight="1">
      <x:c r="A64" s="32"/>
      <x:c r="B64" s="32"/>
      <x:c r="C64" s="32"/>
      <x:c r="D64" s="32"/>
      <x:c r="E64" s="35"/>
      <x:c r="F64" s="35"/>
      <x:c r="G64" s="35"/>
      <x:c r="H64" s="32"/>
      <x:c r="I64" s="32"/>
      <x:c r="J64" s="32"/>
    </x:row>
    <x:row r="65" ht="23" customHeight="1">
      <x:c r="A65" s="32"/>
      <x:c r="B65" s="32"/>
      <x:c r="C65" s="32"/>
      <x:c r="D65" s="32"/>
      <x:c r="E65" s="35"/>
      <x:c r="F65" s="35"/>
      <x:c r="G65" s="35"/>
      <x:c r="H65" s="32"/>
      <x:c r="I65" s="32"/>
      <x:c r="J65" s="32"/>
    </x:row>
    <x:row r="66" ht="23" customHeight="1">
      <x:c r="A66" s="32"/>
      <x:c r="B66" s="32"/>
      <x:c r="C66" s="32"/>
      <x:c r="D66" s="32"/>
      <x:c r="E66" s="35"/>
      <x:c r="F66" s="35"/>
      <x:c r="G66" s="35"/>
      <x:c r="H66" s="32"/>
      <x:c r="I66" s="32"/>
      <x:c r="J66" s="32"/>
    </x:row>
    <x:row r="67" ht="23" customHeight="1">
      <x:c r="A67" s="32"/>
      <x:c r="B67" s="32"/>
      <x:c r="C67" s="32"/>
      <x:c r="D67" s="32"/>
      <x:c r="E67" s="35"/>
      <x:c r="F67" s="35"/>
      <x:c r="G67" s="35"/>
      <x:c r="H67" s="32"/>
      <x:c r="I67" s="32"/>
      <x:c r="J67" s="32"/>
    </x:row>
    <x:row r="68" ht="23" customHeight="1">
      <x:c r="A68" s="32"/>
      <x:c r="B68" s="32"/>
      <x:c r="C68" s="32"/>
      <x:c r="D68" s="32"/>
      <x:c r="E68" s="35"/>
      <x:c r="F68" s="35"/>
      <x:c r="G68" s="35"/>
      <x:c r="H68" s="32"/>
      <x:c r="I68" s="32"/>
      <x:c r="J68" s="32"/>
    </x:row>
    <x:row r="69" ht="23" customHeight="1">
      <x:c r="A69" s="32"/>
      <x:c r="B69" s="32"/>
      <x:c r="C69" s="32"/>
      <x:c r="D69" s="32"/>
      <x:c r="E69" s="35"/>
      <x:c r="F69" s="35"/>
      <x:c r="G69" s="35"/>
      <x:c r="H69" s="32"/>
      <x:c r="I69" s="32"/>
      <x:c r="J69" s="32"/>
    </x:row>
    <x:row r="70" ht="23" customHeight="1">
      <x:c r="A70" s="32"/>
      <x:c r="B70" s="32"/>
      <x:c r="C70" s="32"/>
      <x:c r="D70" s="32"/>
      <x:c r="E70" s="35"/>
      <x:c r="F70" s="35"/>
      <x:c r="G70" s="35"/>
      <x:c r="H70" s="32"/>
      <x:c r="I70" s="32"/>
      <x:c r="J70" s="32"/>
    </x:row>
    <x:row r="71" ht="23" customHeight="1">
      <x:c r="A71" s="32"/>
      <x:c r="B71" s="32"/>
      <x:c r="C71" s="32"/>
      <x:c r="D71" s="32"/>
      <x:c r="E71" s="35"/>
      <x:c r="F71" s="35"/>
      <x:c r="G71" s="35"/>
      <x:c r="H71" s="32"/>
      <x:c r="I71" s="32"/>
      <x:c r="J71" s="32"/>
    </x:row>
    <x:row r="72" ht="23" customHeight="1">
      <x:c r="A72" s="32"/>
      <x:c r="B72" s="32"/>
      <x:c r="C72" s="32"/>
      <x:c r="D72" s="32"/>
      <x:c r="E72" s="35"/>
      <x:c r="F72" s="35"/>
      <x:c r="G72" s="35"/>
      <x:c r="H72" s="32"/>
      <x:c r="I72" s="32"/>
      <x:c r="J72" s="32"/>
    </x:row>
    <x:row r="73" ht="23" customHeight="1">
      <x:c r="A73" s="32"/>
      <x:c r="B73" s="32"/>
      <x:c r="C73" s="32"/>
      <x:c r="D73" s="32"/>
      <x:c r="E73" s="35"/>
      <x:c r="F73" s="35"/>
      <x:c r="G73" s="35"/>
      <x:c r="H73" s="32"/>
      <x:c r="I73" s="32"/>
      <x:c r="J73" s="32"/>
    </x:row>
    <x:row r="74" ht="23" customHeight="1">
      <x:c r="A74" s="32"/>
      <x:c r="B74" s="32"/>
      <x:c r="C74" s="32"/>
      <x:c r="D74" s="32"/>
      <x:c r="E74" s="35"/>
      <x:c r="F74" s="35"/>
      <x:c r="G74" s="35"/>
      <x:c r="H74" s="32"/>
      <x:c r="I74" s="32"/>
      <x:c r="J74" s="32"/>
    </x:row>
    <x:row r="75" ht="23" customHeight="1">
      <x:c r="A75" s="32"/>
      <x:c r="B75" s="32"/>
      <x:c r="C75" s="32"/>
      <x:c r="D75" s="32"/>
      <x:c r="E75" s="35"/>
      <x:c r="F75" s="35"/>
      <x:c r="G75" s="35"/>
      <x:c r="H75" s="32"/>
      <x:c r="I75" s="32"/>
      <x:c r="J75" s="32"/>
    </x:row>
    <x:row r="76" ht="23" customHeight="1">
      <x:c r="A76" s="32"/>
      <x:c r="B76" s="32"/>
      <x:c r="C76" s="32"/>
      <x:c r="D76" s="32"/>
      <x:c r="E76" s="35"/>
      <x:c r="F76" s="35"/>
      <x:c r="G76" s="35"/>
      <x:c r="H76" s="32"/>
      <x:c r="I76" s="32"/>
      <x:c r="J76" s="32"/>
    </x:row>
    <x:row r="77" ht="23" customHeight="1">
      <x:c r="A77" s="32"/>
      <x:c r="B77" s="32"/>
      <x:c r="C77" s="32"/>
      <x:c r="D77" s="32"/>
      <x:c r="E77" s="35"/>
      <x:c r="F77" s="35"/>
      <x:c r="G77" s="35"/>
      <x:c r="H77" s="32"/>
      <x:c r="I77" s="32"/>
      <x:c r="J77" s="32"/>
    </x:row>
    <x:row r="78" ht="23" customHeight="1">
      <x:c r="A78" s="32"/>
      <x:c r="B78" s="32"/>
      <x:c r="C78" s="32"/>
      <x:c r="D78" s="32"/>
      <x:c r="E78" s="35"/>
      <x:c r="F78" s="35"/>
      <x:c r="G78" s="35"/>
      <x:c r="H78" s="32"/>
      <x:c r="I78" s="32"/>
      <x:c r="J78" s="32"/>
    </x:row>
    <x:row r="79" ht="23" customHeight="1">
      <x:c r="A79" s="32"/>
      <x:c r="B79" s="32"/>
      <x:c r="C79" s="32"/>
      <x:c r="D79" s="32"/>
      <x:c r="E79" s="35"/>
      <x:c r="F79" s="35"/>
      <x:c r="G79" s="35"/>
      <x:c r="H79" s="32"/>
      <x:c r="I79" s="32"/>
      <x:c r="J79" s="32"/>
    </x:row>
    <x:row r="80" ht="23" customHeight="1">
      <x:c r="A80" s="32"/>
      <x:c r="B80" s="32"/>
      <x:c r="C80" s="32"/>
      <x:c r="D80" s="32"/>
      <x:c r="E80" s="35"/>
      <x:c r="F80" s="35"/>
      <x:c r="G80" s="35"/>
      <x:c r="H80" s="32"/>
      <x:c r="I80" s="32"/>
      <x:c r="J80" s="32"/>
    </x:row>
    <x:row r="81" ht="23" customHeight="1">
      <x:c r="A81" s="32"/>
      <x:c r="B81" s="32"/>
      <x:c r="C81" s="32"/>
      <x:c r="D81" s="32"/>
      <x:c r="E81" s="35"/>
      <x:c r="F81" s="35"/>
      <x:c r="G81" s="35"/>
      <x:c r="H81" s="32"/>
      <x:c r="I81" s="32"/>
      <x:c r="J81" s="32"/>
    </x:row>
    <x:row r="82" ht="23" customHeight="1">
      <x:c r="A82" s="32"/>
      <x:c r="B82" s="32"/>
      <x:c r="C82" s="32"/>
      <x:c r="D82" s="32"/>
      <x:c r="E82" s="35"/>
      <x:c r="F82" s="35"/>
      <x:c r="G82" s="35"/>
      <x:c r="H82" s="32"/>
      <x:c r="I82" s="32"/>
      <x:c r="J82" s="32"/>
    </x:row>
    <x:row r="83" ht="23" customHeight="1">
      <x:c r="A83" s="32"/>
      <x:c r="B83" s="32"/>
      <x:c r="C83" s="32"/>
      <x:c r="D83" s="32"/>
      <x:c r="E83" s="35"/>
      <x:c r="F83" s="35"/>
      <x:c r="G83" s="35"/>
      <x:c r="H83" s="32"/>
      <x:c r="I83" s="32"/>
      <x:c r="J83" s="32"/>
    </x:row>
    <x:row r="84" ht="23" customHeight="1">
      <x:c r="A84" s="32"/>
      <x:c r="B84" s="32"/>
      <x:c r="C84" s="32"/>
      <x:c r="D84" s="32"/>
      <x:c r="E84" s="35"/>
      <x:c r="F84" s="35"/>
      <x:c r="G84" s="35"/>
      <x:c r="H84" s="32"/>
      <x:c r="I84" s="32"/>
      <x:c r="J84" s="32"/>
    </x:row>
    <x:row r="85" ht="23" customHeight="1">
      <x:c r="A85" s="32"/>
      <x:c r="B85" s="32"/>
      <x:c r="C85" s="32"/>
      <x:c r="D85" s="32"/>
      <x:c r="E85" s="35"/>
      <x:c r="F85" s="35"/>
      <x:c r="G85" s="35"/>
      <x:c r="H85" s="32"/>
      <x:c r="I85" s="32"/>
      <x:c r="J85" s="32"/>
    </x:row>
    <x:row r="86" ht="23" customHeight="1">
      <x:c r="A86" s="32"/>
      <x:c r="B86" s="32"/>
      <x:c r="C86" s="32"/>
      <x:c r="D86" s="32"/>
      <x:c r="E86" s="35"/>
      <x:c r="F86" s="35"/>
      <x:c r="G86" s="35"/>
      <x:c r="H86" s="32"/>
      <x:c r="I86" s="32"/>
      <x:c r="J86" s="32"/>
    </x:row>
    <x:row r="87" ht="23" customHeight="1">
      <x:c r="A87" s="32"/>
      <x:c r="B87" s="32"/>
      <x:c r="C87" s="32"/>
      <x:c r="D87" s="32"/>
      <x:c r="E87" s="35"/>
      <x:c r="F87" s="35"/>
      <x:c r="G87" s="35"/>
      <x:c r="H87" s="32"/>
      <x:c r="I87" s="32"/>
      <x:c r="J87" s="32"/>
    </x:row>
    <x:row r="88" ht="23" customHeight="1">
      <x:c r="A88" s="32"/>
      <x:c r="B88" s="32"/>
      <x:c r="C88" s="32"/>
      <x:c r="D88" s="32"/>
      <x:c r="E88" s="35"/>
      <x:c r="F88" s="35"/>
      <x:c r="G88" s="35"/>
      <x:c r="H88" s="32"/>
      <x:c r="I88" s="32"/>
      <x:c r="J88" s="32"/>
    </x:row>
    <x:row r="89" ht="23" customHeight="1">
      <x:c r="A89" s="32"/>
      <x:c r="B89" s="32"/>
      <x:c r="C89" s="32"/>
      <x:c r="D89" s="32"/>
      <x:c r="E89" s="35"/>
      <x:c r="F89" s="35"/>
      <x:c r="G89" s="35"/>
      <x:c r="H89" s="32"/>
      <x:c r="I89" s="32"/>
      <x:c r="J89" s="32"/>
    </x:row>
    <x:row r="90" ht="23" customHeight="1">
      <x:c r="A90" s="32"/>
      <x:c r="B90" s="32"/>
      <x:c r="C90" s="32"/>
      <x:c r="D90" s="32"/>
      <x:c r="E90" s="35"/>
      <x:c r="F90" s="35"/>
      <x:c r="G90" s="35"/>
      <x:c r="H90" s="32"/>
      <x:c r="I90" s="32"/>
      <x:c r="J90" s="32"/>
    </x:row>
    <x:row r="91" ht="23" customHeight="1">
      <x:c r="A91" s="32"/>
      <x:c r="B91" s="32"/>
      <x:c r="C91" s="32"/>
      <x:c r="D91" s="32"/>
      <x:c r="E91" s="35"/>
      <x:c r="F91" s="35"/>
      <x:c r="G91" s="35"/>
      <x:c r="H91" s="32"/>
      <x:c r="I91" s="32"/>
      <x:c r="J91" s="32"/>
    </x:row>
    <x:row r="92" ht="23" customHeight="1">
      <x:c r="A92" s="32"/>
      <x:c r="B92" s="32"/>
      <x:c r="C92" s="32"/>
      <x:c r="D92" s="32"/>
      <x:c r="E92" s="35"/>
      <x:c r="F92" s="35"/>
      <x:c r="G92" s="35"/>
      <x:c r="H92" s="32"/>
      <x:c r="I92" s="32"/>
      <x:c r="J92" s="32"/>
    </x:row>
    <x:row r="93" ht="23" customHeight="1">
      <x:c r="A93" s="32"/>
      <x:c r="B93" s="32"/>
      <x:c r="C93" s="32"/>
      <x:c r="D93" s="32"/>
      <x:c r="E93" s="35"/>
      <x:c r="F93" s="35"/>
      <x:c r="G93" s="35"/>
      <x:c r="H93" s="32"/>
      <x:c r="I93" s="32"/>
      <x:c r="J93" s="32"/>
    </x:row>
    <x:row r="94" ht="23" customHeight="1">
      <x:c r="A94" s="32"/>
      <x:c r="B94" s="32"/>
      <x:c r="C94" s="32"/>
      <x:c r="D94" s="32"/>
      <x:c r="E94" s="35"/>
      <x:c r="F94" s="35"/>
      <x:c r="G94" s="35"/>
      <x:c r="H94" s="32"/>
      <x:c r="I94" s="32"/>
      <x:c r="J94" s="32"/>
    </x:row>
    <x:row r="95" ht="23" customHeight="1">
      <x:c r="A95" s="32"/>
      <x:c r="B95" s="32"/>
      <x:c r="C95" s="32"/>
      <x:c r="D95" s="32"/>
      <x:c r="E95" s="35"/>
      <x:c r="F95" s="35"/>
      <x:c r="G95" s="35"/>
      <x:c r="H95" s="32"/>
      <x:c r="I95" s="32"/>
      <x:c r="J95" s="32"/>
    </x:row>
    <x:row r="96" ht="23" customHeight="1">
      <x:c r="A96" s="32"/>
      <x:c r="B96" s="32"/>
      <x:c r="C96" s="32"/>
      <x:c r="D96" s="32"/>
      <x:c r="E96" s="35"/>
      <x:c r="F96" s="35"/>
      <x:c r="G96" s="35"/>
      <x:c r="H96" s="32"/>
      <x:c r="I96" s="32"/>
      <x:c r="J96" s="32"/>
    </x:row>
    <x:row r="97" ht="23" customHeight="1">
      <x:c r="A97" s="32"/>
      <x:c r="B97" s="32"/>
      <x:c r="C97" s="32"/>
      <x:c r="D97" s="32"/>
      <x:c r="E97" s="35"/>
      <x:c r="F97" s="35"/>
      <x:c r="G97" s="35"/>
      <x:c r="H97" s="32"/>
      <x:c r="I97" s="32"/>
      <x:c r="J97" s="32"/>
    </x:row>
    <x:row r="98" ht="23" customHeight="1">
      <x:c r="A98" s="32"/>
      <x:c r="B98" s="32"/>
      <x:c r="C98" s="32"/>
      <x:c r="D98" s="32"/>
      <x:c r="E98" s="35"/>
      <x:c r="F98" s="35"/>
      <x:c r="G98" s="35"/>
      <x:c r="H98" s="32"/>
      <x:c r="I98" s="32"/>
      <x:c r="J98" s="32"/>
    </x:row>
    <x:row r="99" ht="23" customHeight="1">
      <x:c r="A99" s="32"/>
      <x:c r="B99" s="32"/>
      <x:c r="C99" s="32"/>
      <x:c r="D99" s="32"/>
      <x:c r="E99" s="35"/>
      <x:c r="F99" s="35"/>
      <x:c r="G99" s="35"/>
      <x:c r="H99" s="32"/>
      <x:c r="I99" s="32"/>
      <x:c r="J99" s="32"/>
    </x:row>
    <x:row r="100" ht="23" customHeight="1">
      <x:c r="A100" s="32"/>
      <x:c r="B100" s="32"/>
      <x:c r="C100" s="32"/>
      <x:c r="D100" s="32"/>
      <x:c r="E100" s="35"/>
      <x:c r="F100" s="35"/>
      <x:c r="G100" s="35"/>
      <x:c r="H100" s="32"/>
      <x:c r="I100" s="32"/>
      <x:c r="J100" s="32"/>
    </x:row>
    <x:row r="101" ht="23" customHeight="1">
      <x:c r="A101" s="32"/>
      <x:c r="B101" s="32"/>
      <x:c r="C101" s="32"/>
      <x:c r="D101" s="32"/>
      <x:c r="E101" s="35"/>
      <x:c r="F101" s="35"/>
      <x:c r="G101" s="35"/>
      <x:c r="H101" s="32"/>
      <x:c r="I101" s="32"/>
      <x:c r="J101" s="32"/>
    </x:row>
    <x:row r="102" ht="23" customHeight="1">
      <x:c r="A102" s="32"/>
      <x:c r="B102" s="32"/>
      <x:c r="C102" s="32"/>
      <x:c r="D102" s="32"/>
      <x:c r="E102" s="35"/>
      <x:c r="F102" s="35"/>
      <x:c r="G102" s="35"/>
      <x:c r="H102" s="32"/>
      <x:c r="I102" s="32"/>
      <x:c r="J102" s="32"/>
    </x:row>
    <x:row r="103" ht="23" customHeight="1">
      <x:c r="A103" s="32"/>
      <x:c r="B103" s="32"/>
      <x:c r="C103" s="32"/>
      <x:c r="D103" s="32"/>
      <x:c r="E103" s="35"/>
      <x:c r="F103" s="35"/>
      <x:c r="G103" s="35"/>
      <x:c r="H103" s="32"/>
      <x:c r="I103" s="32"/>
      <x:c r="J103" s="32"/>
    </x:row>
    <x:row r="104" ht="23" customHeight="1">
      <x:c r="A104" s="32"/>
      <x:c r="B104" s="32"/>
      <x:c r="C104" s="32"/>
      <x:c r="D104" s="32"/>
      <x:c r="E104" s="35"/>
      <x:c r="F104" s="35"/>
      <x:c r="G104" s="35"/>
      <x:c r="H104" s="32"/>
      <x:c r="I104" s="32"/>
      <x:c r="J104" s="32"/>
    </x:row>
    <x:row r="105" ht="23" customHeight="1">
      <x:c r="A105" s="32"/>
      <x:c r="B105" s="32"/>
      <x:c r="C105" s="32"/>
      <x:c r="D105" s="32"/>
      <x:c r="E105" s="35"/>
      <x:c r="F105" s="35"/>
      <x:c r="G105" s="35"/>
      <x:c r="H105" s="32"/>
      <x:c r="I105" s="32"/>
      <x:c r="J105" s="32"/>
    </x:row>
    <x:row r="106" ht="23" customHeight="1">
      <x:c r="A106" s="32"/>
      <x:c r="B106" s="32"/>
      <x:c r="C106" s="32"/>
      <x:c r="D106" s="32"/>
      <x:c r="E106" s="35"/>
      <x:c r="F106" s="35"/>
      <x:c r="G106" s="35"/>
      <x:c r="H106" s="32"/>
      <x:c r="I106" s="32"/>
      <x:c r="J106" s="32"/>
    </x:row>
  </x:sheetData>
  <x:dataValidations count="2">
    <x:dataValidation type="list" sqref="D7:D106">
      <x:formula1>"Yes,No"</x:formula1>
    </x:dataValidation>
    <x:dataValidation type="list" sqref="H7:H106">
      <x:formula1>"Yes,No"</x:formula1>
    </x:dataValidation>
  </x:dataValidations>
  <x:pageMargins left="0.7" right="0.7" top="0.75" bottom="0.75" header="0.3" footer="0.3"/>
</x:worksheet>
</file>